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est Plan&amp;report" sheetId="2" r:id="rId5"/>
    <sheet state="visible" name="Revisions" sheetId="3" r:id="rId6"/>
    <sheet state="visible" name="Tra cứu văn bản pháp luật" sheetId="4" r:id="rId7"/>
    <sheet state="hidden" name="Master Plan" sheetId="5" r:id="rId8"/>
    <sheet state="visible" name="WFDesign" sheetId="6" r:id="rId9"/>
  </sheets>
  <definedNames/>
  <calcPr/>
  <extLst>
    <ext uri="GoogleSheetsCustomDataVersion2">
      <go:sheetsCustomData xmlns:go="http://customooxmlschemas.google.com/" r:id="rId10" roundtripDataChecksum="uk5iCPEnunpz2uUtXytaVYAlJZIXuzXgO82/vxO4mb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ID#AAAB6EiVj8w
tc={0ded94cd-78c9-4022-8c64-f62810cdac36}    (2026-05-11 10:27:47)
[Threaded comment]
 Your version of Excel allows you to read this threaded comment; however, any edits to it will get removed if the file is opened in a newer version of Excel. Learn more: https://go.microsoft.com/fwlink/?linkid=870924
Comment:
	@anh.nguyen14@sotatek.com bác gom case thành công vs không thành công lại tương tự như bên "Quản lý tk nhà đầu tư" nhen
Reply:
	Done ạ
Reply:
	mark đỏ ạ</t>
      </text>
    </comment>
  </commentList>
  <extLst>
    <ext uri="GoogleSheetsCustomDataVersion2">
      <go:sheetsCustomData xmlns:go="http://customooxmlschemas.google.com/" r:id="rId1" roundtripDataSignature="AMtx7mgLOHfkKtDcqn26xQxW6cglUfj7Xg=="/>
    </ext>
  </extLst>
</comments>
</file>

<file path=xl/sharedStrings.xml><?xml version="1.0" encoding="utf-8"?>
<sst xmlns="http://schemas.openxmlformats.org/spreadsheetml/2006/main" count="1026" uniqueCount="539">
  <si>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</si>
  <si>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</si>
  <si>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</si>
  <si>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</si>
  <si>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</si>
  <si>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</si>
  <si>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</si>
  <si>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</si>
  <si>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</si>
  <si>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</si>
  <si>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</si>
  <si>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Trang.bui3</t>
  </si>
  <si>
    <t>Approver:</t>
  </si>
  <si>
    <t>Chung.vu</t>
  </si>
  <si>
    <t>QC</t>
  </si>
  <si>
    <t>PM</t>
  </si>
  <si>
    <t>Created Date:</t>
  </si>
  <si>
    <t>Approved Date:</t>
  </si>
  <si>
    <t>Version</t>
  </si>
  <si>
    <t xml:space="preserve"> 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</si>
  <si>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</si>
  <si>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</si>
  <si>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</si>
  <si>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</si>
  <si>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</si>
  <si>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</si>
  <si>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</si>
  <si>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</si>
  <si>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</si>
  <si>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</si>
  <si>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FUNC01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</si>
  <si>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</si>
  <si>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</si>
  <si>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</si>
  <si>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</si>
  <si>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</si>
  <si>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</si>
  <si>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</si>
  <si>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</si>
  <si>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</si>
  <si>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</si>
  <si>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</si>
  <si>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</si>
  <si>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</si>
  <si>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</si>
  <si>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</si>
  <si>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</si>
  <si>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</si>
  <si>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Tra cứu văn bản pháp luật</t>
  </si>
  <si>
    <t>Review</t>
  </si>
  <si>
    <t>HISTORY</t>
  </si>
  <si>
    <t>History</t>
  </si>
  <si>
    <t>Date</t>
  </si>
  <si>
    <t>Content</t>
  </si>
  <si>
    <t>Author</t>
  </si>
  <si>
    <t>Thêm mới</t>
  </si>
  <si>
    <t>System Name</t>
  </si>
  <si>
    <t>Cổng Một Cửa Đầu Tư Quốc Gia - Ứng dụng Di động</t>
  </si>
  <si>
    <t>MBFS_UC69_TraCuuVanBanPhapLuat_Testcase_v1.0</t>
  </si>
  <si>
    <t>Browser</t>
  </si>
  <si>
    <t>iOS</t>
  </si>
  <si>
    <t>Android</t>
  </si>
  <si>
    <t>Number of Test cases</t>
  </si>
  <si>
    <t>Number of Bugs</t>
  </si>
  <si>
    <t>Module</t>
  </si>
  <si>
    <t>Ứng dụng Di động (Mobile App)</t>
  </si>
  <si>
    <t>Created By</t>
  </si>
  <si>
    <t>11/05/2026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</si>
  <si>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</si>
  <si>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</si>
  <si>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</si>
  <si>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</si>
  <si>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</si>
  <si>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</si>
  <si>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</si>
  <si>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</si>
  <si>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</si>
  <si>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</si>
  <si>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</si>
  <si>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</si>
  <si>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</si>
  <si>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</si>
  <si>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Văn bản pháp luật</t>
  </si>
  <si>
    <t>Check UI/UX</t>
  </si>
  <si>
    <t>Kiểm tra UI/UX màn hình Danh sách Văn bản pháp luật</t>
  </si>
  <si>
    <t>Đăng nhập thành công vào ứng dụng (Cá nhân hoặc Tổ chức).
Điều hướng đến màn hình "Văn bản pháp luật".</t>
  </si>
  <si>
    <t>1. Kiểm tra hiển thị trên màn hình [Danh sách Văn bản pháp luật]</t>
  </si>
  <si>
    <t>1. Hiển thị đầy đủ các item, màu sắc, font chữ, layout giống Design
(Tham khảo ảnh "1. Màn xem danh sách - Số hiệu, trích yếu" sheet WF/Design)
- Header đỏ đậm, tiêu đề "Văn bản pháp luật" màu trắng, nút Quay lại (←)
- Ô tìm kiếm nền xám nhạt, viền bo tròn, placeholder "Tìm kiếm văn bản..."
- Icon filter bên phải ô tìm kiếm
- 2 radio: "Số hiệu, Trích yếu" (mặc định) và "Toàn văn"
- Danh sách Card cuộn dọc</t>
  </si>
  <si>
    <t>[Card văn bản] Kiểm tra hiển thị thông tin trên mỗi Card</t>
  </si>
  <si>
    <t>Đăng nhập thành công.
Ở màn hình Danh sách Văn bản pháp luật.
Danh sách có dữ liệu.</t>
  </si>
  <si>
    <t>1. Kiểm tra hiển thị thông tin trên 1 Card văn bản</t>
  </si>
  <si>
    <t>1.
- Tag Loại văn bản: góc trái trên
- Tag Trạng thái: góc phải trên
- Tên văn bản: font đậm, màu đen, tối đa 2 dòng
- "Ban hành: [DD/MM/YYYY]" dòng 1, màu xám
- "Hiệu lực: [DD/MM/YYYY]" dòng 2, màu xám
- Cơ quan ban hành: góc trái dưới, màu xám đậm
- Nút "Xem chi tiết →": góc phải dưới</t>
  </si>
  <si>
    <t>[Card văn bản] Kiểm tra hiển thị khi Tên văn bản quá dài (&gt; 2 dòng)</t>
  </si>
  <si>
    <t>Đăng nhập thành công.
Có văn bản với tên rất dài (&gt; 2 dòng hiển thị).</t>
  </si>
  <si>
    <t>1. Kiểm tra hiển thị Tên văn bản trên Card</t>
  </si>
  <si>
    <t>1. Tên văn bản hiển thị tối đa 2 dòng, phần vượt quá hiển thị "..."</t>
  </si>
  <si>
    <t>[Card văn bản] Kiểm tra hiển thị khi các trường dữ liệu null</t>
  </si>
  <si>
    <t>Đăng nhập thành công.
Có văn bản với các trường null.</t>
  </si>
  <si>
    <t>1. Kiểm tra hiển thị Card khi dữ liệu null</t>
  </si>
  <si>
    <t>1.
- Tên văn bản null → hiển thị "-"
- Ngày ban hành null → "Ban hành: -"
- Ngày hiệu lực null → "Hiệu lực: -"
- Cơ quan ban hành null → "-"</t>
  </si>
  <si>
    <t>[Tag Trạng thái] Kiểm tra hiển thị badge cho 5 trạng thái</t>
  </si>
  <si>
    <t>1. Kiểm tra hiển thị badge trạng thái trên các Card</t>
  </si>
  <si>
    <t>1. Badge hiển thị đúng cho 5 giá trị:
- "Đang hiệu lực"
- "Chưa hiệu lực"
- "Không xác định hiệu lực"
- "Hết hiệu lực"
- "Hết hiệu lực một phần"
Badge luôn read-only, không cho phép tap (CMR-05)</t>
  </si>
  <si>
    <t>[Full-screen loading] Kiểm tra hiển thị loading khi first-load</t>
  </si>
  <si>
    <t>Đăng nhập thành công.
Truy cập lần đầu vào màn hình "Văn bản pháp luật".</t>
  </si>
  <si>
    <t>1. Kiểm tra hiển thị trong lúc tải dữ liệu lần đầu</t>
  </si>
  <si>
    <t>1. Hiển thị full-screen loading overlay (CMR-07 v1.1) trong lúc chờ API phản hồi</t>
  </si>
  <si>
    <t>[Empty state] Kiểm tra hiển thị khi không có dữ liệu</t>
  </si>
  <si>
    <t>Đăng nhập thành công.
API trả về danh sách rỗng.</t>
  </si>
  <si>
    <t>1. Kiểm tra hiển thị màn hình khi không có văn bản nào</t>
  </si>
  <si>
    <t>1. Hiển thị empty state "Không tìm thấy kết quả." theo CMR-14. Ẩn danh sách kết quả.</t>
  </si>
  <si>
    <t>[Active Filter Indicator] Kiểm tra hiển thị icon indicator khi có filter active</t>
  </si>
  <si>
    <t>Đăng nhập thành công.
Đã áp dụng bộ lọc có giá trị khác mặc định.</t>
  </si>
  <si>
    <t>1. Kiểm tra hiển thị icon filter trên màn hình danh sách</t>
  </si>
  <si>
    <t>1. Icon indicator màu xanh lá cây xuất hiện ở góc phải trên icon filter (CMR-02)</t>
  </si>
  <si>
    <t>[Active Filter Indicator] Kiểm tra ẩn icon indicator khi không có filter active</t>
  </si>
  <si>
    <t>Đăng nhập thành công.
Tất cả field bộ lọc ở giá trị mặc định.</t>
  </si>
  <si>
    <t>1. Không hiển thị icon indicator. Chỉ hiển thị icon filter bình thường.</t>
  </si>
  <si>
    <t>Check Function</t>
  </si>
  <si>
    <t>[Ô tìm kiếm] Kiểm tra tìm kiếm với phạm vi "Số hiệu, Trích yếu"</t>
  </si>
  <si>
    <t>1. Nhập từ khóa "Thông tư" vào ô tìm kiếm
2. Chờ 3 giây (debounce)
3. Kiểm tra hiển thị danh sách kết quả</t>
  </si>
  <si>
    <t>3. Danh sách cập nhật, chỉ hiển thị các văn bản có tên/số hiệu/trích yếu chứa "Thông tư"</t>
  </si>
  <si>
    <t>[Ô tìm kiếm] Kiểm tra tìm kiếm với phạm vi "Toàn văn"</t>
  </si>
  <si>
    <t>Đăng nhập thành công.
Ở màn hình Danh sách Văn bản pháp luật, mục Toàn văn
Danh sách có dữ liệu.</t>
  </si>
  <si>
    <t>3. Danh sách cập nhật, chỉ hiển thị các văn bản có toàn văn chứa "Thông tư"</t>
  </si>
  <si>
    <t>[Ô tìm kiếm] Kiểm tra debounce 3 giây hoạt động đúng</t>
  </si>
  <si>
    <t>1. Nhập "Nghị" vào ô tìm kiếm
2. Chờ 1 giây, nhập thêm " định"
3. Chờ 3 giây không gõ thêm
4. Kiểm tra hiển thị</t>
  </si>
  <si>
    <t>4. Hệ thống chỉ gọi API 1 lần sau 3 giây ngừng gõ, kết quả cho "Nghị định"</t>
  </si>
  <si>
    <t>CMR-01</t>
  </si>
  <si>
    <t>[Ô tìm kiếm] Kiểm tra tìm kiếm gần đúng (fuzzy search)</t>
  </si>
  <si>
    <t>1. Nhập "20/2026" vào ô tìm kiếm
2. Chờ 3 giây
3. Kiểm tra kết quả</t>
  </si>
  <si>
    <t>3. Kết quả trả về bao gồm văn bản chứa "20/2026" (tìm gần đúng)</t>
  </si>
  <si>
    <t>[Ô tìm kiếm] Kiểm tra giới hạn 500 ký tự — nhập đúng 500 (BVA)</t>
  </si>
  <si>
    <t>1. Nhập đúng 500 ký tự vào ô tìm kiếm
2. Chờ 3 giây
3. Kiểm tra hiển thị</t>
  </si>
  <si>
    <t>2. Hệ thống chấp nhận 500 ký tự
3. Thực hiện tìm kiếm bình thường</t>
  </si>
  <si>
    <t>BVA: at boundary</t>
  </si>
  <si>
    <t>[Ô tìm kiếm] Kiểm tra giới hạn 500 ký tự — nhập 501 (BVA)</t>
  </si>
  <si>
    <t>1. Nhập 501 ký tự vào ô tìm kiếm</t>
  </si>
  <si>
    <t>1. Hệ thống không cho phép nhập ký tự thứ 501. Chặn tại 500 ký tự.</t>
  </si>
  <si>
    <t>BVA: above boundary</t>
  </si>
  <si>
    <t>[Ô tìm kiếm] Kiểm tra xóa hết từ khóa → danh sách mặc định</t>
  </si>
  <si>
    <t>Đăng nhập thành công.
Đã nhập từ khóa và có kết quả tìm kiếm.</t>
  </si>
  <si>
    <t>1. Xóa hết text trong ô tìm kiếm
2. Chờ 3 giây
3. Kiểm tra hiển thị</t>
  </si>
  <si>
    <t>3. Hiển thị lại danh sách mặc định (sắp xếp theo ngày ban hành mới nhất)</t>
  </si>
  <si>
    <t>[Ô tìm kiếm] Kiểm tra nhập ký tự đặc biệt</t>
  </si>
  <si>
    <t>1. Nhập "@#/-.%" vào ô tìm kiếm
2. Chờ 3 giây
3. Kiểm tra hiển thị</t>
  </si>
  <si>
    <t>3. Hệ thống xử lý bình thường, không crash. Trả về kết quả phù hợp hoặc empty state.</t>
  </si>
  <si>
    <t>[Radio] Kiểm tra chuyển từ "Số hiệu, Trích yếu" sang "Toàn văn"</t>
  </si>
  <si>
    <t>Đăng nhập thành công.
Đã nhập keyword "Thông tư".
Bộ lọc đã áp dụng.</t>
  </si>
  <si>
    <t>1. Tap radio "Toàn văn"
2. Kiểm tra hiển thị</t>
  </si>
  <si>
    <t>2.
- Danh sách reset về trang đầu
- Keyword giữ nguyên
- Bộ lọc giữ nguyên
- Mỗi Card hiển thị thêm khối nội dung toàn văn</t>
  </si>
  <si>
    <t>[Radio] Kiểm tra chuyển từ "Toàn văn" về "Số hiệu, Trích yếu"</t>
  </si>
  <si>
    <t>Đăng nhập thành công.
Radio "Toàn văn" đang chọn.
Có keyword và bộ lọc.</t>
  </si>
  <si>
    <t>1. Tap radio "Số hiệu, Trích yếu"
2. Kiểm tra hiển thị</t>
  </si>
  <si>
    <t>2.
- Danh sách reset về trang đầu
- Keyword giữ nguyên, bộ lọc giữ nguyên
- Khối nội dung toàn văn ẩn đi</t>
  </si>
  <si>
    <t>[Radio "Toàn văn"] Kiểm tra khi VB không có nội dung toàn văn</t>
  </si>
  <si>
    <t>Đăng nhập thành công.
Radio "Toàn văn" đang chọn.</t>
  </si>
  <si>
    <t>1. Kiểm tra hiển thị khối toàn văn trên Card không có data</t>
  </si>
  <si>
    <t>1. Khối toàn văn hiển thị "Không có dữ liệu." theo CMR-14</t>
  </si>
  <si>
    <t>[Lazy load] Kiểm tra tải thêm 20 bản ghi khi cuộn xuống</t>
  </si>
  <si>
    <t>Đăng nhập thành công.
Danh sách có &gt; 20 bản ghi.</t>
  </si>
  <si>
    <t>1. Cuộn xuống cuối danh sách
2. Kiểm tra hiển thị</t>
  </si>
  <si>
    <t>1. Hiển thị spinner cục bộ ở cuối (không full-screen)
2. Tải thêm 20 bản ghi tiếp theo</t>
  </si>
  <si>
    <t>CMR-04</t>
  </si>
  <si>
    <t>[Lazy load] Kiểm tra khi đã tải hết dữ liệu</t>
  </si>
  <si>
    <t>Đăng nhập thành công.
Đã tải hết tất cả bản ghi.</t>
  </si>
  <si>
    <t>2. Không trigger thêm API call, không hiển thị spinner.</t>
  </si>
  <si>
    <t>[Pull to Refresh] Kiểm tra kéo xuống để tải lại</t>
  </si>
  <si>
    <t>Đăng nhập thành công.
Có keyword và bộ lọc đang active.</t>
  </si>
  <si>
    <t>1. Kéo xuống (pull to refresh)
2. Kiểm tra hiển thị</t>
  </si>
  <si>
    <t>2. Danh sách tải lại từ đầu, giữ nguyên keyword và bộ lọc</t>
  </si>
  <si>
    <t>CMR-13</t>
  </si>
  <si>
    <t>[Nút "Xem chi tiết →"] Kiểm tra tap mở chi tiết</t>
  </si>
  <si>
    <t>1. Tap nút "Xem chi tiết →" trên 1 Card
2. Kiểm tra hiển thị</t>
  </si>
  <si>
    <t>2. Chuyển đến màn hình Chi tiết văn bản tương ứng</t>
  </si>
  <si>
    <t>[Card văn bản] Kiểm tra tap toàn bộ Card mở chi tiết</t>
  </si>
  <si>
    <t>1. Tap vào vùng bất kỳ trên Card
2. Kiểm tra hiển thị</t>
  </si>
  <si>
    <t>[Debounce rapid tap] Kiểm tra tap nhanh liên tiếp chỉ navigate 1 lần</t>
  </si>
  <si>
    <t>1. Tap nhanh liên tiếp 3 lần vào 1 Card
2. Kiểm tra hiển thị</t>
  </si>
  <si>
    <t>2. Chỉ navigate 1 lần đến Chi tiết (CMR-18)</t>
  </si>
  <si>
    <t>CMR-18</t>
  </si>
  <si>
    <t>[Nút Quay lại] Kiểm tra quay về màn hình trước</t>
  </si>
  <si>
    <t>Đăng nhập thành công.
Ở màn hình Danh sách.
Truy cập từ Trang chủ.</t>
  </si>
  <si>
    <t>1. Tap nút Quay lại (←) trên header
2. Kiểm tra hiển thị</t>
  </si>
  <si>
    <t>2. Quay về Trang chủ (CMR-06)</t>
  </si>
  <si>
    <t>[State Persistence] Kiểm tra quay lại giữ nguyên trạng thái</t>
  </si>
  <si>
    <t>Đăng nhập thành công.
Đã nhập keyword, áp dụng bộ lọc, cuộn xuống giữa danh sách.</t>
  </si>
  <si>
    <t>1. Tap vào 1 Card để xem chi tiết
2. Tap Quay lại để về danh sách
3. Kiểm tra hiển thị</t>
  </si>
  <si>
    <t>3.
- Keyword giữ nguyên
- Bộ lọc giữ nguyên
- Vị trí scroll giữ nguyên
- Radio giữ nguyên</t>
  </si>
  <si>
    <t>[Tìm kiếm + Bộ lọc] Kiểm tra kết hợp keyword và bộ lọc</t>
  </si>
  <si>
    <t>1. Nhập "Thông tư" vào ô tìm kiếm
2. Mở bộ lọc, chọn Trạng thái = "Đang hiệu lực"
3. Tap "Áp dụng"
4. Chờ 3 giây
5. Kiểm tra kết quả</t>
  </si>
  <si>
    <t>5. Danh sách chỉ hiển thị VB chứa "Thông tư" VÀ trạng thái "Đang hiệu lực" (AND logic)</t>
  </si>
  <si>
    <t>[Lỗi mạng] Kiểm tra mất kết nối khi tải danh sách</t>
  </si>
  <si>
    <t>Đăng nhập thành công.
Tắt mạng trước khi truy cập UC69.</t>
  </si>
  <si>
    <t>1. Truy cập màn hình "Văn bản pháp luật"
2. Kiểm tra hiển thị</t>
  </si>
  <si>
    <t>2. Hiển thị "Không thể kết nối. Vui lòng kiểm tra mạng và thử lại." với nút "Thử lại"</t>
  </si>
  <si>
    <t>CMR-07</t>
  </si>
  <si>
    <t>Check common</t>
  </si>
  <si>
    <t>Kiểm tra các trường hợp phổ biến UI/UX</t>
  </si>
  <si>
    <t>Kiểm tra hiển thị dữ liệu tối đa (maxlength)</t>
  </si>
  <si>
    <t>1. Kiểm tra hiển thị dữ liệu tối đa (maxlength)</t>
  </si>
  <si>
    <t>1. Hiển thị đúng độ dài tối đa</t>
  </si>
  <si>
    <t>Kiểm tra khôi phục/phóng to/thu nhỏ ứng dụng</t>
  </si>
  <si>
    <t>1. Thực hiện khôi phục, phóng to, thu nhỏ ứng dụng</t>
  </si>
  <si>
    <t>1. Không xảy ra lỗi bất thường</t>
  </si>
  <si>
    <t>Kiểm tra tính nhất quán của các thông báo</t>
  </si>
  <si>
    <t>1. Kiểm tra tính nhất quán của các thông báo</t>
  </si>
  <si>
    <t>1. Xác nhận thông báo lỗi:
- Thông báo lỗi inline: hiển thị dưới ô nhập liệu bị lỗi, màu đỏ
- Thông báo lỗi dạng toast: hiển thị ở giữa hoặc phía dưới màn hình</t>
  </si>
  <si>
    <t>Kiểm tra hiển thị khi thiết bị ở chế độ dọc</t>
  </si>
  <si>
    <t>1. Kiểm tra hiển thị khi thiết bị ở chế độ dọc</t>
  </si>
  <si>
    <t>1. Không có lỗi gì xảy ra, giao diện không bị vỡ</t>
  </si>
  <si>
    <t>Kiểm tra hiển thị khi thiết bị ở chế độ ngang</t>
  </si>
  <si>
    <t>1. Kiểm tra hiển thị khi thiết bị ở chế độ ngang</t>
  </si>
  <si>
    <t>1. App chỉ hỗ trợ Portrait. Màn hình không xoay theo.</t>
  </si>
  <si>
    <t>Kiểm tra hiển thị khi chuyển đổi giữa chế độ dọc và ngang</t>
  </si>
  <si>
    <t>1. Chuyển từ dọc sang ngang
2. Chuyển từ ngang sang dọc</t>
  </si>
  <si>
    <t>1 &amp; 2. App chỉ hỗ trợ Portrait. Giao diện không bị vỡ.</t>
  </si>
  <si>
    <t>Kiểm tra hiển thị khi thiết bị sử dụng cỡ chữ lớn nhất</t>
  </si>
  <si>
    <t>1. Kiểm tra hiển thị khi thiết bị sử dụng cỡ chữ lớn nhất</t>
  </si>
  <si>
    <t>1. Giao diện không bị vỡ</t>
  </si>
  <si>
    <t>Kiểm tra hiển thị khi thiết bị sử dụng cỡ chữ nhỏ nhất</t>
  </si>
  <si>
    <t>1. Kiểm tra hiển thị khi thiết bị sử dụng cỡ chữ nhỏ nhất</t>
  </si>
  <si>
    <t>Kiểm tra tương tác cơ bản với thiết bị</t>
  </si>
  <si>
    <t>Xác nhận hiển thị khi chạm nút [Quay lại] trên Android</t>
  </si>
  <si>
    <t>1. Mở ứng dụng
2. Chạm nút [Quay lại] trên thiết bị Android
3. Xác nhận hiển thị</t>
  </si>
  <si>
    <t>3. Quay lại màn hình trước đó</t>
  </si>
  <si>
    <t>Xác nhận hiển thị khi vuốt trái sang phải trên iOS</t>
  </si>
  <si>
    <t>1. Mở ứng dụng
2. Vuốt từ trái sang phải trên iOS
3. Xác nhận hiển thị</t>
  </si>
  <si>
    <t>Xác nhận hiển thị khi tắt và mở lại ứng dụng</t>
  </si>
  <si>
    <t>1. Mở ứng dụng
2. Tắt ứng dụng
3. Mở lại ứng dụng
4. Xác nhận hiển thị</t>
  </si>
  <si>
    <t>4. Ứng dụng mở lại từ Trang chủ, giữ nguyên session đăng nhập</t>
  </si>
  <si>
    <t>Kiểm tra chế độ đa nhiệm (multitasking)</t>
  </si>
  <si>
    <t>1. Mở ứng dụng
2. Trở về màn hình chính
3. Mở lại ứng dụng
4. Xác nhận hiển thị</t>
  </si>
  <si>
    <t>4. Ứng dụng giữ nguyên ở trạng thái hiện tại</t>
  </si>
  <si>
    <t>Xác nhận hiển thị khi khóa và mở khóa màn hình</t>
  </si>
  <si>
    <t>1. Mở ứng dụng
2. Khóa thiết bị
3. Mở khóa thiết bị
4. Xác nhận hiển thị</t>
  </si>
  <si>
    <t>4. Giữ nguyên trạng thái hiện tại của ứng dụng</t>
  </si>
  <si>
    <t>Kiểm tra kéo xuống để làm mới (pull-to-refresh)</t>
  </si>
  <si>
    <t>1. Ở màn hình hiện tại
2. Kéo xuống để làm mới</t>
  </si>
  <si>
    <t>2. Hiển thị dữ liệu mới nhất</t>
  </si>
  <si>
    <t>Kiểm tra cuộn xuống để tải thêm (scroll-down-to-load-more)</t>
  </si>
  <si>
    <t>1. Cuộn xuống cuối danh sách</t>
  </si>
  <si>
    <t>1. Hiển thị thêm dữ liệu mới (20 bản ghi tiếp theo)</t>
  </si>
  <si>
    <t>Kiểm tra phản hồi khi nhận thông báo từ ứng dụng khác</t>
  </si>
  <si>
    <t>1. Mở ứng dụng
2. Ứng dụng khác gửi thông báo
3. Xác nhận hiển thị</t>
  </si>
  <si>
    <t>3. Không có lỗi nào xảy ra</t>
  </si>
  <si>
    <t>2. Bottom Sheet Bộ lọc tìm kiếm</t>
  </si>
  <si>
    <t>Kiểm tra UI/UX Bottom Sheet Bộ lọc tìm kiếm</t>
  </si>
  <si>
    <t>Đăng nhập thành công.
Ở màn hình Danh sách.</t>
  </si>
  <si>
    <t>1. Tap icon filter
2. Kiểm tra hiển thị Bottom Sheet</t>
  </si>
  <si>
    <t>2. Hiển thị đầy đủ layout giống Design
(Tham khảo ảnh "4. Bộ lọc" sheet WF/Design)
- Nút Đóng (X) góc phải trên
- "Cơ quan ban hành": Textbox, placeholder "Nhập cơ quan ban hành"
- "Khoảng ngày ban hành": Date Range, placeholder "Ngày bắt đầu - Ngày kết thúc"
- "Loại văn bản": mặc định "Tất cả văn bản"
- "Lĩnh vực": mặc định "Tất cả lĩnh vực"
- "Đơn vị soạn thảo": mặc định "Tất cả đơn vị soạn thảo"
- "Trạng thái": mặc định "Tất cả trạng thái"
- Nút "Nhập lại": text đỏ, icon refresh
- Nút "Áp dụng": nền đỏ đậm</t>
  </si>
  <si>
    <t>[Nút "Áp dụng"] Kiểm tra áp dụng bộ lọc với 1 Dropdown</t>
  </si>
  <si>
    <t>Đăng nhập thành công.
Ở màn hình Danh sách.
Bottom Sheet Bộ lọc đang mở.</t>
  </si>
  <si>
    <t>1. Chọn Loại văn bản = "Thông tư"
2. Tap "Áp dụng"
3. Kiểm tra hiển thị</t>
  </si>
  <si>
    <t>2. Bottom Sheet đóng
3. Danh sách chỉ hiển thị VB có Loại = "Thông tư"</t>
  </si>
  <si>
    <t>[Bộ lọc] Kiểm tra áp dụng nhiều trường kết hợp (Decision Table)</t>
  </si>
  <si>
    <t>1. Chọn Loại VB = "Nghị định"
2. Chọn Lĩnh vực = "Đầu tư"
3. Chọn Trạng thái = "Đang hiệu lực"
4. Tap "Áp dụng"
5. Kiểm tra kết quả</t>
  </si>
  <si>
    <t>4. Bottom Sheet đóng
5. Danh sách chỉ hiển thị VB thỏa TẤT CẢ điều kiện (AND)</t>
  </si>
  <si>
    <t>[Bộ lọc] Kiểm tra áp dụng tất cả 6 trường cùng lúc</t>
  </si>
  <si>
    <t>1. Nhập "Chính phủ" vào Cơ quan ban hành
2. Chọn ngày: 01/01/2025 - 31/12/2025
3. Chọn Loại VB = "Nghị định"
4. Chọn Lĩnh vực = "Đầu tư"
5. Chọn Đơn vị = "Bộ KH&amp;ĐT"
6. Chọn Trạng thái = "Đang hiệu lực"
7. Tap "Áp dụng"
8. Kiểm tra kết quả</t>
  </si>
  <si>
    <t>7. Bottom Sheet đóng
8. Danh sách chỉ hiển thị VB thỏa tất cả 6 điều kiện</t>
  </si>
  <si>
    <t>[Searchable Dropdown] Kiểm tra tìm kiếm option</t>
  </si>
  <si>
    <t>1. Tap dropdown "Loại văn bản"
2. Nhập "Thông" vào ô search
3. Kiểm tra hiển thị</t>
  </si>
  <si>
    <t>2. Mở danh sách + ô search
3. Option lọc theo "Thông" (gần đúng), sắp xếp A-Z</t>
  </si>
  <si>
    <t>CMR-03</t>
  </si>
  <si>
    <t>[Searchable Dropdown] Kiểm tra chọn option và highlight</t>
  </si>
  <si>
    <t>1. Tap dropdown "Lĩnh vực"
2. Tap chọn "Đầu tư"
3. Kiểm tra dropdown đóng
4. Tap lại dropdown "Lĩnh vực"
5. Kiểm tra hiển thị</t>
  </si>
  <si>
    <t>2. Dropdown đóng, hiển thị "Đầu tư"
5. Option "Đầu tư" được highlight/bold</t>
  </si>
  <si>
    <t>[Searchable Dropdown] Kiểm tra text option dài truncate + long press</t>
  </si>
  <si>
    <t>1. Tap dropdown có option text rất dài
2. Kiểm tra hiển thị option dài
3. Tap giữ (long press) option dài</t>
  </si>
  <si>
    <t>2. Text dài truncate + "..."
3. Hiển thị toàn bộ nội dung option</t>
  </si>
  <si>
    <t>[Searchable Dropdown] Kiểm tra không tìm thấy option</t>
  </si>
  <si>
    <t>1. Tap dropdown "Đơn vị soạn thảo"
2. Nhập "XYZABC"
3. Kiểm tra hiển thị</t>
  </si>
  <si>
    <t>3. Hiển thị empty state trong dropdown (không có option nào)</t>
  </si>
  <si>
    <t>[Cơ quan ban hành] Kiểm tra tìm kiếm gần đúng</t>
  </si>
  <si>
    <t>1. Nhập "Chính phủ" vào "Cơ quan ban hành"
2. Tap "Áp dụng"
3. Kiểm tra kết quả</t>
  </si>
  <si>
    <t>3. Danh sách hiển thị VB có cơ quan ban hành chứa "Chính phủ"</t>
  </si>
  <si>
    <t>[Cơ quan ban hành] Kiểm tra 500 ký tự — nhập đúng 500 (BVA)</t>
  </si>
  <si>
    <t>1. Nhập đúng 500 ký tự vào "Cơ quan ban hành"
2. Kiểm tra hiển thị</t>
  </si>
  <si>
    <t>2. Hệ thống chấp nhận 500 ký tự bình thường</t>
  </si>
  <si>
    <t>[Cơ quan ban hành] Kiểm tra 500 ký tự — nhập 501 (BVA)</t>
  </si>
  <si>
    <t>1. Nhập 501 ký tự vào "Cơ quan ban hành"</t>
  </si>
  <si>
    <t>1. Không cho phép nhập ký tự thứ 501. Chặn tại 500.</t>
  </si>
  <si>
    <t>[Date Range] Kiểm tra chọn cả ngày bắt đầu và kết thúc</t>
  </si>
  <si>
    <t>1. Tap "Khoảng ngày ban hành"
2. Chọn bắt đầu = 01/01/2025
3. Chọn kết thúc = 31/12/2025
4. Tap "Áp dụng"
5. Kiểm tra kết quả</t>
  </si>
  <si>
    <t>5. Danh sách chỉ hiển thị VB có ngày ban hành từ 01/01/2025 đến 31/12/2025</t>
  </si>
  <si>
    <t>CMR-15</t>
  </si>
  <si>
    <t>[Date Range] Kiểm tra chỉ chọn ngày bắt đầu</t>
  </si>
  <si>
    <t>1. Chọn bắt đầu = 01/06/2025
2. Không chọn kết thúc
3. Tap "Áp dụng"
4. Kiểm tra kết quả</t>
  </si>
  <si>
    <t>4. Danh sách hiển thị VB từ 01/06/2025 đến hiện tại (kết thúc = vô hạn)</t>
  </si>
  <si>
    <t>[Date Range] Kiểm tra chỉ chọn ngày kết thúc</t>
  </si>
  <si>
    <t>1. Không chọn bắt đầu
2. Chọn kết thúc = 31/12/2024
3. Tap "Áp dụng"
4. Kiểm tra kết quả</t>
  </si>
  <si>
    <t>4. Danh sách hiển thị VB từ đầu đến 31/12/2024 (bắt đầu = không giới hạn)</t>
  </si>
  <si>
    <t>[Date Range] Kiểm tra kết thúc chỉ cho phép từ bắt đầu trở về sau</t>
  </si>
  <si>
    <t>1. Chọn bắt đầu = 15/03/2025
2. Mở Date Picker kết thúc
3. Kiểm tra các ngày trước 15/03/2025</t>
  </si>
  <si>
    <t>3. Các ngày trước 15/03/2025 bị disable, không cho phép chọn</t>
  </si>
  <si>
    <t>[Date Range] Kiểm tra cho phép chọn ngày tương lai</t>
  </si>
  <si>
    <t>1. Mở Date Picker
2. Chọn ngày tương lai (01/01/2027)
3. Kiểm tra hiển thị</t>
  </si>
  <si>
    <t>2. Cho phép chọn ngày tương lai bình thường
3. Giá trị hiển thị đúng</t>
  </si>
  <si>
    <t>Q11</t>
  </si>
  <si>
    <t>[Nút "Nhập lại"] Kiểm tra reset tất cả field</t>
  </si>
  <si>
    <t>Đăng nhập thành công.
Bottom Sheet mở.
Đã chọn/nhập giá trị cho nhiều trường.</t>
  </si>
  <si>
    <t>1. Tap nút "Nhập lại"
2. Kiểm tra hiển thị</t>
  </si>
  <si>
    <t>2.
- Cơ quan ban hành: trống
- Khoảng ngày: trống
- Loại VB: "Tất cả văn bản"
- Lĩnh vực: "Tất cả lĩnh vực"
- Đơn vị: "Tất cả đơn vị soạn thảo"
- Trạng thái: "Tất cả trạng thái"
- Bottom Sheet giữ nguyên mở</t>
  </si>
  <si>
    <t>[Đóng] Kiểm tra tap ngoài vùng Bottom Sheet</t>
  </si>
  <si>
    <t>Đăng nhập thành công.
Bottom Sheet mở.
Đã chọn giá trị bộ lọc.</t>
  </si>
  <si>
    <t>1. Tap ra ngoài vùng Bottom Sheet
2. Kiểm tra hiển thị</t>
  </si>
  <si>
    <t>1. Bottom Sheet đóng
2. Bộ lọc KHÔNG được áp dụng. Danh sách giữ nguyên.</t>
  </si>
  <si>
    <t>[Đóng] Kiểm tra tap nút Đóng (X)</t>
  </si>
  <si>
    <t>1. Tap nút Đóng (X)
2. Kiểm tra hiển thị</t>
  </si>
  <si>
    <t>1. Bottom Sheet đóng
2. Bộ lọc KHÔNG được áp dụng.</t>
  </si>
  <si>
    <t>[Đóng] Kiểm tra nút Back vật lý Android</t>
  </si>
  <si>
    <t>Đăng nhập thành công.
Bottom Sheet mở (Android).</t>
  </si>
  <si>
    <t>1. Nhấn nút Back vật lý
2. Kiểm tra hiển thị</t>
  </si>
  <si>
    <t>1. Bottom Sheet đóng (KHÔNG thoát màn hình danh sách)
2. Bộ lọc KHÔNG được áp dụng.</t>
  </si>
  <si>
    <t>[Dropdown Trạng thái] Kiểm tra list tĩnh 5 giá trị (EP)</t>
  </si>
  <si>
    <t>1. Tap dropdown "Trạng thái"
2. Kiểm tra danh sách option</t>
  </si>
  <si>
    <t>2. List tĩnh 5 giá trị:
- Đang hiệu lực
- Chưa hiệu lực
- Không xác định hiệu lực
- Hết hiệu lực
- Hết hiệu lực một phần</t>
  </si>
  <si>
    <t>[Bộ lọc] Kiểm tra không có kết quả phù hợp</t>
  </si>
  <si>
    <t>1. Chọn điều kiện lọc không có VB nào phù hợp
2. Tap "Áp dụng"
3. Kiểm tra hiển thị</t>
  </si>
  <si>
    <t>3. Hiển thị "Không tìm thấy kết quả." theo CMR-14</t>
  </si>
  <si>
    <t>1. Kiểm tra hiển thị dữ liệu tối đa</t>
  </si>
  <si>
    <t>1. Thực hiện khôi phục, phóng to, thu nhỏ</t>
  </si>
  <si>
    <t>1. Thông báo lỗi inline: dưới ô bị lỗi, màu đỏ
Toast: giữa hoặc phía dưới màn hình</t>
  </si>
  <si>
    <t>1. Kiểm tra hiển thị chế độ dọc</t>
  </si>
  <si>
    <t>1. Kiểm tra hiển thị chế độ ngang</t>
  </si>
  <si>
    <t>1. App chỉ hỗ trợ Portrait. Không xoay.</t>
  </si>
  <si>
    <t>Kiểm tra chuyển đổi dọc/ngang</t>
  </si>
  <si>
    <t>1. Chuyển dọc sang ngang
2. Chuyển ngang sang dọc</t>
  </si>
  <si>
    <t>1 &amp; 2. App Portrait only. Không vỡ.</t>
  </si>
  <si>
    <t>Kiểm tra cỡ chữ lớn nhất</t>
  </si>
  <si>
    <t>1. Kiểm tra hiển thị cỡ chữ lớn nhất</t>
  </si>
  <si>
    <t>Kiểm tra cỡ chữ nhỏ nhất</t>
  </si>
  <si>
    <t>1. Kiểm tra hiển thị cỡ chữ nhỏ nhất</t>
  </si>
  <si>
    <t>Xác nhận nút [Quay lại] Android</t>
  </si>
  <si>
    <t>1. Chạm nút [Quay lại] Android
2. Xác nhận hiển thị</t>
  </si>
  <si>
    <t>2. Đóng Bottom Sheet</t>
  </si>
  <si>
    <t>Xác nhận vuốt trái→phải iOS</t>
  </si>
  <si>
    <t>1. Vuốt trái sang phải iOS
2. Xác nhận hiển thị</t>
  </si>
  <si>
    <t>Xác nhận tắt/mở lại app</t>
  </si>
  <si>
    <t>1. Tắt app
2. Mở lại
3. Xác nhận hiển thị</t>
  </si>
  <si>
    <t>3. Mở lại từ Trang chủ, giữ session</t>
  </si>
  <si>
    <t>Kiểm tra đa nhiệm</t>
  </si>
  <si>
    <t>1. Về màn hình chính
2. Mở lại app
3. Xác nhận</t>
  </si>
  <si>
    <t>3. Giữ nguyên trạng thái</t>
  </si>
  <si>
    <t>Kiểm tra khóa/mở khóa màn hình</t>
  </si>
  <si>
    <t>1. Khóa thiết bị
2. Mở khóa
3. Xác nhận</t>
  </si>
  <si>
    <t>Kiểm tra pull-to-refresh</t>
  </si>
  <si>
    <t>1. Kéo xuống để làm mới</t>
  </si>
  <si>
    <t>Bottom Sheet không hỗ trợ</t>
  </si>
  <si>
    <t>Kiểm tra scroll-to-load-more</t>
  </si>
  <si>
    <t>1. Cuộn xuống cuối</t>
  </si>
  <si>
    <t>Kiểm tra nhận thông báo từ app khác</t>
  </si>
  <si>
    <t>1. App khác gửi thông báo
2. Xác nhận hiển thị</t>
  </si>
  <si>
    <t>2. Không có lỗi nào xảy ra</t>
  </si>
  <si>
    <t>3. Màn hình Chi tiết văn bản</t>
  </si>
  <si>
    <t>Kiểm tra UI/UX màn hình Chi tiết văn bản</t>
  </si>
  <si>
    <t>Đăng nhập thành công.
Tap vào 1 Card từ danh sách.</t>
  </si>
  <si>
    <t>1. Kiểm tra hiển thị trên màn hình [Chi tiết văn bản]</t>
  </si>
  <si>
    <t>1. Hiển thị đầy đủ layout giống Design
(Tham khảo ảnh "3. Màn xem chi tiết" sheet WFDesign)
- Header đỏ đậm "Chi tiết văn bản", nút Quay lại
- Khối thông tin chi tiết (Card nền trắng)
- Tên VB: font đậm, căn trái
- Thuộc tính: Label xám trái, Value đen phải
- Nút "Tải văn bản" nền đỏ (nếu có file)
- Nút "Xem PDF" nền trắng viền xám (nếu có)
- Khối "Văn bản liên quan"
- Khối "Nội dung toàn văn"</t>
  </si>
  <si>
    <t>[Skeleton loading] Kiểm tra hiển thị loading khi tải chi tiết</t>
  </si>
  <si>
    <t>Đăng nhập thành công.
Tap vào 1 Card.</t>
  </si>
  <si>
    <t>1. Kiểm tra hiển thị trong lúc chờ API phản hồi</t>
  </si>
  <si>
    <t>1. Hiển thị Skeleton loading (placeholder animation) cho các block</t>
  </si>
  <si>
    <t>[Thông tin chi tiết] Kiểm tra hiển thị đầy đủ thuộc tính</t>
  </si>
  <si>
    <t>Đăng nhập thành công.
Ở màn hình Chi tiết văn bản.</t>
  </si>
  <si>
    <t>1. Kiểm tra hiển thị danh sách thuộc tính</t>
  </si>
  <si>
    <t>1. Hiển thị đầy đủ:
- Số ký hiệu: font đậm
- Loại văn bản
- Ngày ban hành: DD/MM/YYYY
- Ngày có hiệu lực: DD/MM/YYYY
- Tình trạng hiệu lực: badge viền, read-only
- Cơ quan ban hành
- Người ký
- Đơn vị soạn thảo
- Lĩnh vực
- Hiệu lực không gian</t>
  </si>
  <si>
    <t>[Thông tin chi tiết] Kiểm tra hiển thị khi tất cả trường null</t>
  </si>
  <si>
    <t>1. Kiểm tra hiển thị khi dữ liệu null</t>
  </si>
  <si>
    <t>1. Tất cả trường null hiển thị "-"</t>
  </si>
  <si>
    <t>[Số ký hiệu] Kiểm tra wrap xuống dòng khi giá trị quá dài</t>
  </si>
  <si>
    <t>Đăng nhập thành công.
VB có số ký hiệu rất dài.</t>
  </si>
  <si>
    <t>1. Kiểm tra hiển thị trường "Số ký hiệu"</t>
  </si>
  <si>
    <t>1. Giá trị quá dài wrap xuống dòng (không truncate)</t>
  </si>
  <si>
    <t>[Nút "Tải văn bản"] Kiểm tra ẩn khi không có file</t>
  </si>
  <si>
    <t>Đăng nhập thành công.
VB không có file DOC/DOCX.</t>
  </si>
  <si>
    <t>1. Kiểm tra hiển thị nút "Tải văn bản"</t>
  </si>
  <si>
    <t>1. Nút ẩn hoàn toàn (không hiển thị)</t>
  </si>
  <si>
    <t>[Nút "Xem PDF"] Kiểm tra ẩn khi không có file PDF</t>
  </si>
  <si>
    <t>Đăng nhập thành công.
VB không có file PDF.</t>
  </si>
  <si>
    <t>1. Kiểm tra hiển thị nút "Xem PDF"</t>
  </si>
  <si>
    <t>[Đa ngôn ngữ] Kiểm tra text cứng thay đổi theo ngôn ngữ</t>
  </si>
  <si>
    <t>Đăng nhập thành công.
Đổi ngôn ngữ app.
Mở Chi tiết.</t>
  </si>
  <si>
    <t>1. Kiểm tra hiển thị text cứng</t>
  </si>
  <si>
    <t>1. Tất cả text cứng (header, label, button, empty state, toast) thay đổi theo ngôn ngữ</t>
  </si>
  <si>
    <t>CMR-17</t>
  </si>
  <si>
    <t>[Nút "Tải văn bản"] Kiểm tra tải DOC/DOCX thành công</t>
  </si>
  <si>
    <t>Đăng nhập thành công.
VB có file DOC/DOCX đính kèm.</t>
  </si>
  <si>
    <t>1. Tap nút "Tải văn bản"
2. Kiểm tra hiển thị</t>
  </si>
  <si>
    <t>1. Tải file DOC/DOCX về máy
2. Hiển thị Toast "Tải văn bản thành công."</t>
  </si>
  <si>
    <t>CMR-08</t>
  </si>
  <si>
    <t>[Nút "Xem PDF"] Kiểm tra mở PDF trên trình duyệt</t>
  </si>
  <si>
    <t>Đăng nhập thành công.
VB có file PDF đính kèm.</t>
  </si>
  <si>
    <t>1. Tap nút "Xem PDF"
2. Kiểm tra hiển thị</t>
  </si>
  <si>
    <t>2. Mở file PDF trực tiếp trên trình duyệt thiết bị</t>
  </si>
  <si>
    <t>[Tải văn bản] Kiểm tra khi file lỗi/mất trên server</t>
  </si>
  <si>
    <t>Đăng nhập thành công.
File trên server đã bị xóa/lỗi.</t>
  </si>
  <si>
    <t>2. Hiển thị Toast "Nội dung không tồn tại hoặc đã bị xóa."</t>
  </si>
  <si>
    <t>[Xem PDF] Kiểm tra khi file PDF lỗi/mất</t>
  </si>
  <si>
    <t>Đăng nhập thành công.
File PDF trên server đã bị xóa/lỗi.</t>
  </si>
  <si>
    <t>[Mục lục] Kiểm tra mặc định collapse</t>
  </si>
  <si>
    <t>Đăng nhập thành công.
VB có mục lục.</t>
  </si>
  <si>
    <t>1. Kiểm tra trạng thái mặc định Mục lục</t>
  </si>
  <si>
    <t>1. Section Mục lục ở trạng thái Collapse (đóng)</t>
  </si>
  <si>
    <t>[Mục lục] Kiểm tra tap expand</t>
  </si>
  <si>
    <t>1. Tap tiêu đề "Mục lục"
2. Kiểm tra hiển thị</t>
  </si>
  <si>
    <t>2. Expand danh sách mục lục</t>
  </si>
  <si>
    <t>[Mục lục] Kiểm tra tap mục lục → scroll đến đoạn tương ứng</t>
  </si>
  <si>
    <t>Đăng nhập thành công.
Mục lục đang expand.</t>
  </si>
  <si>
    <t>1. Tap vào 1 mục lục (VD: "Chương II")
2. Kiểm tra hiển thị</t>
  </si>
  <si>
    <t>2.
- Màn hình auto scroll đến "Chương II" trong Toàn văn
- Mục lục tự động collapse lại</t>
  </si>
  <si>
    <t>[Mục lục] Kiểm tra ẩn khi VB không có mục lục</t>
  </si>
  <si>
    <t>Đăng nhập thành công.
VB không có mục lục.</t>
  </si>
  <si>
    <t>1. Kiểm tra hiển thị section Mục lục</t>
  </si>
  <si>
    <t>1. Toàn bộ section Mục lục ẩn hoàn toàn</t>
  </si>
  <si>
    <t>[Nội dung toàn văn] Kiểm tra scroll trong block</t>
  </si>
  <si>
    <t>Đăng nhập thành công.
VB có nội dung toàn văn dài.</t>
  </si>
  <si>
    <t>1. Scroll trong block Nội dung toàn văn
2. Kiểm tra hiển thị</t>
  </si>
  <si>
    <t>2. Nội dung scroll được, không giới hạn chiều cao cố định</t>
  </si>
  <si>
    <t>[Nội dung toàn văn] Kiểm tra ẩn khi không có data + không có mục lục</t>
  </si>
  <si>
    <t>Đăng nhập thành công.
VB không có toàn văn VÀ không có mục lục.</t>
  </si>
  <si>
    <t>1. Kiểm tra hiển thị section Mục lục và Toàn văn</t>
  </si>
  <si>
    <t>1. Ẩn cả 2 section. Hiển thị "Không có dữ liệu." theo CMR-14</t>
  </si>
  <si>
    <t>[Văn bản liên quan] Kiểm tra hiển thị danh sách</t>
  </si>
  <si>
    <t>Đăng nhập thành công.
VB có văn bản liên quan.</t>
  </si>
  <si>
    <t>1. Kiểm tra hiển thị khối "Văn bản liên quan"</t>
  </si>
  <si>
    <t>1.
- Tiêu đề "Văn bản liên quan" font đậm
- Mỗi item: Số hiệu (xanh dương, tap được) + Mô tả (xám, max 2 dòng)</t>
  </si>
  <si>
    <t>[Văn bản liên quan] Kiểm tra "Không có dữ liệu." khi rỗng</t>
  </si>
  <si>
    <t>Đăng nhập thành công.
Không có Văn bản liên quan.</t>
  </si>
  <si>
    <t>1. Khối VẪN hiển thị tiêu đề. Nội dung: "Không có dữ liệu." (KHÔNG ẩn khối)</t>
  </si>
  <si>
    <t>CMR-14</t>
  </si>
  <si>
    <t>[Văn bản liên quan] Kiểm tra tap navigate đến chi tiết</t>
  </si>
  <si>
    <t>Đăng nhập thành công.
Có Văn bản liên quan.</t>
  </si>
  <si>
    <t>1. Tap vào 1 item Văn bản liên quan
2. Kiểm tra hiển thị</t>
  </si>
  <si>
    <t>2. Chuyển đến màn hình Chi tiết của Văn bản liên quan đó</t>
  </si>
  <si>
    <t>[Văn bản liên quan] Kiểm tra Back quay về chi tiết gốc</t>
  </si>
  <si>
    <t>Đăng nhập thành công.
Đang ở Chi tiết Văn bản liên quan (navigate từ VB gốc).</t>
  </si>
  <si>
    <t>1. Tap nút Quay lại (←)
2. Kiểm tra hiển thị</t>
  </si>
  <si>
    <t>2. Quay về Chi tiết VB gốc (KHÔNG quay về danh sách)</t>
  </si>
  <si>
    <t>[Deep navigation] Kiểm tra đi sâu vô hạn qua Văn bản liên quan</t>
  </si>
  <si>
    <t>Đăng nhập thành công.
VB A có Văn bản liên quan B.
VB B có Văn bản liên quan C.</t>
  </si>
  <si>
    <t>1. Tap Văn bản liên quan B → Chi tiết B
2. Tap Văn bản liên quan C → Chi tiết C
3. Kiểm tra hiển thị</t>
  </si>
  <si>
    <t>3. Cho phép navigation sâu vô hạn. Chi tiết C hiển thị đúng.</t>
  </si>
  <si>
    <t>[Deep navigation] Kiểm tra Back đúng stack (LIFO)</t>
  </si>
  <si>
    <t>Đăng nhập thành công.
Đã navigate: A → B → C.</t>
  </si>
  <si>
    <t>1. Tap Back từ C
2. Kiểm tra
3. Tap Back từ B
4. Kiểm tra</t>
  </si>
  <si>
    <t>2. Quay về Chi tiết B
4. Quay về Chi tiết A (LIFO)</t>
  </si>
  <si>
    <t>[Partial API failure] Kiểm tra 1 block lỗi, block khác OK</t>
  </si>
  <si>
    <t>Đăng nhập thành công.
API Văn bản liên quan lỗi, API chi tiết OK.</t>
  </si>
  <si>
    <t>1. Mở Chi tiết
2. Kiểm tra hiển thị</t>
  </si>
  <si>
    <t>2.
- Khối chi tiết hiển thị bình thường
- Khối Văn bản liên quan hiển thị lỗi riêng (CMR-07)
- Các block khác không ảnh hưởng</t>
  </si>
  <si>
    <t>AC12</t>
  </si>
  <si>
    <t>[Lỗi mạng] Kiểm tra mất kết nối khi tải chi tiết</t>
  </si>
  <si>
    <t>Đăng nhập thành công.
Tắt mạng.</t>
  </si>
  <si>
    <t>1. Tap Card để mở chi tiết
2. Kiểm tra hiển thị</t>
  </si>
  <si>
    <t>2. "Không thể kết nối. Vui lòng kiểm tra mạng và thử lại." + nút "Thử lại"</t>
  </si>
  <si>
    <t>[Session expire] Kiểm tra redirect khi phiên hết hạn</t>
  </si>
  <si>
    <t>Đăng nhập thành công.
Phiên hết hạn (401).</t>
  </si>
  <si>
    <t>1. Thực hiện thao tác bất kỳ
2. Kiểm tra hiển thị</t>
  </si>
  <si>
    <t>2. Redirect về màn đăng nhập</t>
  </si>
  <si>
    <t>TC_112</t>
  </si>
  <si>
    <t>TC_113</t>
  </si>
  <si>
    <t>TC_114</t>
  </si>
  <si>
    <t>1. Kiểm tra tính nhất quán thông báo</t>
  </si>
  <si>
    <t>1. Toast: giữa/dưới màn hình. Inline: dưới ô lỗi, màu đỏ.</t>
  </si>
  <si>
    <t>TC_115</t>
  </si>
  <si>
    <t>Kiểm tra hiển thị chế độ dọc</t>
  </si>
  <si>
    <t>TC_116</t>
  </si>
  <si>
    <t>Kiểm tra hiển thị chế độ ngang</t>
  </si>
  <si>
    <t>1. App Portrait only. Không xoay.</t>
  </si>
  <si>
    <t>TC_117</t>
  </si>
  <si>
    <t>1. Chuyển dọc→ngang
2. Chuyển ngang→dọc</t>
  </si>
  <si>
    <t>1 &amp; 2. Portrait only. Không vỡ.</t>
  </si>
  <si>
    <t>TC_118</t>
  </si>
  <si>
    <t>1. Kiểm tra cỡ chữ lớn nhất</t>
  </si>
  <si>
    <t>TC_119</t>
  </si>
  <si>
    <t>1. Kiểm tra cỡ chữ nhỏ nhất</t>
  </si>
  <si>
    <t>TC_120</t>
  </si>
  <si>
    <t>1. Chạm nút [Quay lại] Android
2. Xác nhận</t>
  </si>
  <si>
    <t>2. Quay lại màn hình trước</t>
  </si>
  <si>
    <t>TC_121</t>
  </si>
  <si>
    <t>1. Vuốt trái→phải iOS
2. Xác nhận</t>
  </si>
  <si>
    <t>TC_122</t>
  </si>
  <si>
    <t>1. Tắt app
2. Mở lại
3. Xác nhận</t>
  </si>
  <si>
    <t>3. Mở từ Trang chủ, giữ session</t>
  </si>
  <si>
    <t>TC_123</t>
  </si>
  <si>
    <t>1. Về màn hình chính
2. Mở lại
3. Xác nhận</t>
  </si>
  <si>
    <t>TC_124</t>
  </si>
  <si>
    <t>Kiểm tra khóa/mở khóa</t>
  </si>
  <si>
    <t>1. Khóa
2. Mở khóa
3. Xác nhận</t>
  </si>
  <si>
    <t>TC_125</t>
  </si>
  <si>
    <t>1. Kéo xuống</t>
  </si>
  <si>
    <t>Màn hình Chi tiết không hỗ trợ pull-to-refresh</t>
  </si>
  <si>
    <t>TC_126</t>
  </si>
  <si>
    <t>Màn hình Chi tiết không hỗ trợ</t>
  </si>
  <si>
    <t>TC_127</t>
  </si>
  <si>
    <t>1. App khác gửi thông báo
2. Xác nhận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</si>
  <si>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</si>
  <si>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</si>
  <si>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</si>
  <si>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</si>
  <si>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</si>
  <si>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</si>
  <si>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</si>
  <si>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</si>
  <si>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</si>
  <si>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</si>
  <si>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</si>
  <si>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</si>
  <si>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</si>
  <si>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</si>
  <si>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</si>
  <si>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</si>
  <si>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</si>
  <si>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</si>
  <si>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</si>
  <si>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</si>
  <si>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</si>
  <si>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</si>
  <si>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</si>
  <si>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</si>
  <si>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</si>
  <si>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</si>
  <si>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</si>
  <si>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</si>
  <si>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</si>
  <si>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</si>
  <si>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</si>
  <si>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</si>
  <si>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</si>
  <si>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</si>
  <si>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</si>
  <si>
    <t>1. Màn xem danh sách - Số hiệu, trích yếu</t>
  </si>
  <si>
    <t>2. Màn xem danh sách - Toàn văn</t>
  </si>
  <si>
    <t>3. Màn xem chi tiết</t>
  </si>
  <si>
    <t>4. Bộ lọc</t>
  </si>
  <si>
    <t>5. Mục lục văn bản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</si>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</sst>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d/m"/>
  </numFmts>
  <fonts count="26">
    <font>
      <sz val="10.0"/>
      <color rgb="FF000000"/>
      <name val="Arial"/>
      <scheme val="minor"/>
    </font>
    <font>
      <sz val="11.0"/>
      <color theme="1"/>
      <name val="Times New Roman"/>
    </font>
    <font>
      <b/>
      <sz val="36.0"/>
      <color theme="1"/>
      <name val="Times New Roman"/>
    </font>
    <font/>
    <font>
      <b/>
      <sz val="21.0"/>
      <color theme="1"/>
      <name val="Times New Roman"/>
    </font>
    <font>
      <sz val="9.0"/>
      <color theme="1"/>
      <name val="Times New Roman"/>
    </font>
    <font>
      <b/>
      <i/>
      <sz val="9.0"/>
      <color theme="1"/>
      <name val="Times New Roman"/>
    </font>
    <font>
      <u/>
      <sz val="11.0"/>
      <color rgb="FF0000FF"/>
      <name val="Times New Roman"/>
    </font>
    <font>
      <sz val="10.0"/>
      <color theme="1"/>
      <name val="Times New Roman"/>
    </font>
    <font>
      <b/>
      <sz val="26.0"/>
      <color theme="1"/>
      <name val="Times New Roman"/>
    </font>
    <font>
      <b/>
      <sz val="10.0"/>
      <color theme="1"/>
      <name val="Times New Roman"/>
    </font>
    <font>
      <b/>
      <sz val="26.0"/>
      <color rgb="FF000000"/>
      <name val="Times New Roman"/>
    </font>
    <font>
      <sz val="10.0"/>
      <color theme="1"/>
      <name val="Arial"/>
    </font>
    <font>
      <sz val="11.0"/>
      <color rgb="FF000000"/>
      <name val="Arial"/>
    </font>
    <font>
      <b/>
      <sz val="14.0"/>
      <color rgb="FF000000"/>
      <name val="Times New Roman"/>
    </font>
    <font>
      <b/>
      <sz val="14.0"/>
      <color rgb="FFFFFFFF"/>
      <name val="Times New Roman"/>
    </font>
    <font>
      <sz val="14.0"/>
      <color rgb="FF000000"/>
      <name val="Times New Roman"/>
    </font>
    <font>
      <sz val="10.0"/>
      <color rgb="FF000000"/>
      <name val="Arial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color theme="1"/>
      <name val="Arial"/>
      <scheme val="minor"/>
    </font>
    <font>
      <b/>
      <sz val="18.0"/>
      <color rgb="FF000000"/>
      <name val="Times New Roman"/>
    </font>
    <font>
      <b/>
      <sz val="20.0"/>
      <color rgb="FF000000"/>
      <name val="Times New Roman"/>
    </font>
    <font>
      <sz val="12.0"/>
      <color rgb="FF0000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52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000000"/>
      </top>
      <bottom/>
    </border>
    <border>
      <left style="thin">
        <color rgb="FFBFBFBF"/>
      </left>
      <right/>
      <top style="thin">
        <color rgb="FF000000"/>
      </top>
      <bottom/>
    </border>
    <border>
      <left style="thin">
        <color rgb="FFBFBFBF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3" fontId="1" numFmtId="0" xfId="0" applyBorder="1" applyFill="1" applyFont="1"/>
    <xf borderId="3" fillId="3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3" fontId="4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shrinkToFit="0" wrapText="1"/>
    </xf>
    <xf borderId="10" fillId="0" fontId="3" numFmtId="0" xfId="0" applyBorder="1" applyFont="1"/>
    <xf borderId="9" fillId="2" fontId="6" numFmtId="0" xfId="0" applyAlignment="1" applyBorder="1" applyFont="1">
      <alignment horizontal="left" shrinkToFit="0" wrapText="1"/>
    </xf>
    <xf borderId="11" fillId="0" fontId="3" numFmtId="0" xfId="0" applyBorder="1" applyFont="1"/>
    <xf borderId="9" fillId="2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shrinkToFit="0" wrapText="1"/>
    </xf>
    <xf borderId="9" fillId="2" fontId="6" numFmtId="0" xfId="0" applyAlignment="1" applyBorder="1" applyFont="1">
      <alignment horizontal="left" readingOrder="0" shrinkToFit="0" wrapText="1"/>
    </xf>
    <xf borderId="9" fillId="2" fontId="7" numFmtId="0" xfId="0" applyBorder="1" applyFont="1"/>
    <xf borderId="9" fillId="2" fontId="6" numFmtId="164" xfId="0" applyAlignment="1" applyBorder="1" applyFont="1" applyNumberFormat="1">
      <alignment horizontal="left" readingOrder="0" shrinkToFit="0" wrapText="1"/>
    </xf>
    <xf borderId="9" fillId="2" fontId="1" numFmtId="164" xfId="0" applyBorder="1" applyFont="1" applyNumberFormat="1"/>
    <xf borderId="2" fillId="0" fontId="1" numFmtId="0" xfId="0" applyBorder="1" applyFont="1"/>
    <xf borderId="0" fillId="0" fontId="8" numFmtId="0" xfId="0" applyFont="1"/>
    <xf borderId="12" fillId="0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0" fillId="0" fontId="8" numFmtId="0" xfId="0" applyAlignment="1" applyFont="1">
      <alignment vertical="center"/>
    </xf>
    <xf borderId="15" fillId="3" fontId="10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center"/>
    </xf>
    <xf borderId="15" fillId="0" fontId="8" numFmtId="10" xfId="0" applyAlignment="1" applyBorder="1" applyFont="1" applyNumberFormat="1">
      <alignment horizontal="center"/>
    </xf>
    <xf borderId="15" fillId="3" fontId="8" numFmtId="10" xfId="0" applyAlignment="1" applyBorder="1" applyFont="1" applyNumberFormat="1">
      <alignment horizontal="center"/>
    </xf>
    <xf borderId="1" fillId="2" fontId="8" numFmtId="0" xfId="0" applyBorder="1" applyFont="1"/>
    <xf borderId="16" fillId="0" fontId="9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8" numFmtId="0" xfId="0" applyAlignment="1" applyFont="1">
      <alignment vertical="top"/>
    </xf>
    <xf borderId="22" fillId="3" fontId="10" numFmtId="0" xfId="0" applyAlignment="1" applyBorder="1" applyFont="1">
      <alignment horizontal="center" vertical="top"/>
    </xf>
    <xf borderId="22" fillId="3" fontId="10" numFmtId="0" xfId="0" applyAlignment="1" applyBorder="1" applyFont="1">
      <alignment horizontal="center" shrinkToFit="0" vertical="top" wrapText="1"/>
    </xf>
    <xf borderId="22" fillId="3" fontId="10" numFmtId="0" xfId="0" applyAlignment="1" applyBorder="1" applyFont="1">
      <alignment vertical="top"/>
    </xf>
    <xf borderId="22" fillId="3" fontId="10" numFmtId="0" xfId="0" applyAlignment="1" applyBorder="1" applyFont="1">
      <alignment shrinkToFit="0" vertical="top" wrapText="1"/>
    </xf>
    <xf borderId="12" fillId="3" fontId="10" numFmtId="0" xfId="0" applyAlignment="1" applyBorder="1" applyFont="1">
      <alignment horizontal="center" vertical="top"/>
    </xf>
    <xf borderId="12" fillId="4" fontId="10" numFmtId="0" xfId="0" applyAlignment="1" applyBorder="1" applyFill="1" applyFont="1">
      <alignment horizontal="center" vertical="top"/>
    </xf>
    <xf borderId="23" fillId="0" fontId="3" numFmtId="0" xfId="0" applyBorder="1" applyFont="1"/>
    <xf borderId="22" fillId="4" fontId="10" numFmtId="0" xfId="0" applyAlignment="1" applyBorder="1" applyFont="1">
      <alignment horizontal="center" shrinkToFit="0" vertical="top" wrapText="1"/>
    </xf>
    <xf borderId="24" fillId="0" fontId="3" numFmtId="0" xfId="0" applyBorder="1" applyFont="1"/>
    <xf borderId="15" fillId="0" fontId="8" numFmtId="0" xfId="0" applyAlignment="1" applyBorder="1" applyFont="1">
      <alignment horizontal="center" vertical="top"/>
    </xf>
    <xf borderId="15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readingOrder="0" shrinkToFit="0" vertical="top" wrapText="1"/>
    </xf>
    <xf borderId="15" fillId="0" fontId="8" numFmtId="0" xfId="0" applyAlignment="1" applyBorder="1" applyFont="1">
      <alignment vertical="top"/>
    </xf>
    <xf borderId="15" fillId="0" fontId="8" numFmtId="0" xfId="0" applyAlignment="1" applyBorder="1" applyFont="1">
      <alignment readingOrder="0" vertical="top"/>
    </xf>
    <xf borderId="15" fillId="0" fontId="8" numFmtId="165" xfId="0" applyAlignment="1" applyBorder="1" applyFont="1" applyNumberFormat="1">
      <alignment vertical="top"/>
    </xf>
    <xf borderId="15" fillId="0" fontId="8" numFmtId="3" xfId="0" applyAlignment="1" applyBorder="1" applyFont="1" applyNumberFormat="1">
      <alignment horizontal="center" shrinkToFit="0" vertical="top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25" fillId="5" fontId="14" numFmtId="0" xfId="0" applyAlignment="1" applyBorder="1" applyFill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6" fontId="15" numFmtId="0" xfId="0" applyAlignment="1" applyBorder="1" applyFill="1" applyFont="1">
      <alignment horizontal="center" vertical="center"/>
    </xf>
    <xf borderId="29" fillId="6" fontId="15" numFmtId="0" xfId="0" applyAlignment="1" applyBorder="1" applyFont="1">
      <alignment horizontal="center" vertical="center"/>
    </xf>
    <xf borderId="30" fillId="6" fontId="15" numFmtId="0" xfId="0" applyAlignment="1" applyBorder="1" applyFont="1">
      <alignment horizontal="center" vertical="center"/>
    </xf>
    <xf borderId="31" fillId="6" fontId="15" numFmtId="0" xfId="0" applyAlignment="1" applyBorder="1" applyFont="1">
      <alignment horizontal="center" vertical="center"/>
    </xf>
    <xf borderId="32" fillId="2" fontId="16" numFmtId="164" xfId="0" applyAlignment="1" applyBorder="1" applyFont="1" applyNumberFormat="1">
      <alignment horizontal="center" vertical="center"/>
    </xf>
    <xf borderId="32" fillId="2" fontId="16" numFmtId="0" xfId="0" applyAlignment="1" applyBorder="1" applyFont="1">
      <alignment shrinkToFit="0" vertical="center" wrapText="1"/>
    </xf>
    <xf borderId="32" fillId="2" fontId="16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32" fillId="3" fontId="18" numFmtId="0" xfId="0" applyAlignment="1" applyBorder="1" applyFont="1">
      <alignment horizontal="left" vertical="center"/>
    </xf>
    <xf borderId="25" fillId="0" fontId="18" numFmtId="0" xfId="0" applyAlignment="1" applyBorder="1" applyFont="1">
      <alignment horizontal="left" shrinkToFit="0" vertical="center" wrapText="1"/>
    </xf>
    <xf borderId="33" fillId="0" fontId="3" numFmtId="0" xfId="0" applyBorder="1" applyFont="1"/>
    <xf borderId="34" fillId="3" fontId="19" numFmtId="0" xfId="0" applyAlignment="1" applyBorder="1" applyFont="1">
      <alignment horizontal="center" shrinkToFit="0" vertical="center" wrapText="1"/>
    </xf>
    <xf borderId="32" fillId="3" fontId="1" numFmtId="0" xfId="0" applyAlignment="1" applyBorder="1" applyFont="1">
      <alignment horizontal="center" shrinkToFit="0" vertical="center" wrapText="1"/>
    </xf>
    <xf borderId="32" fillId="7" fontId="1" numFmtId="0" xfId="0" applyAlignment="1" applyBorder="1" applyFill="1" applyFont="1">
      <alignment horizontal="center" shrinkToFit="0" vertical="center" wrapText="1"/>
    </xf>
    <xf borderId="32" fillId="7" fontId="1" numFmtId="0" xfId="0" applyAlignment="1" applyBorder="1" applyFont="1">
      <alignment horizontal="center" readingOrder="0" shrinkToFit="0" vertical="center" wrapText="1"/>
    </xf>
    <xf borderId="34" fillId="3" fontId="1" numFmtId="49" xfId="0" applyAlignment="1" applyBorder="1" applyFont="1" applyNumberFormat="1">
      <alignment horizontal="center" shrinkToFit="0" vertical="center" wrapText="1"/>
    </xf>
    <xf borderId="34" fillId="7" fontId="1" numFmtId="49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34" fillId="3" fontId="18" numFmtId="0" xfId="0" applyAlignment="1" applyBorder="1" applyFont="1">
      <alignment horizontal="center" vertical="center"/>
    </xf>
    <xf borderId="34" fillId="3" fontId="18" numFmtId="0" xfId="0" applyAlignment="1" applyBorder="1" applyFont="1">
      <alignment horizontal="center" shrinkToFit="0" vertical="center" wrapText="1"/>
    </xf>
    <xf borderId="25" fillId="4" fontId="19" numFmtId="0" xfId="0" applyAlignment="1" applyBorder="1" applyFont="1">
      <alignment horizontal="center" vertical="center"/>
    </xf>
    <xf borderId="25" fillId="8" fontId="19" numFmtId="0" xfId="0" applyAlignment="1" applyBorder="1" applyFill="1" applyFont="1">
      <alignment horizontal="center" vertical="center"/>
    </xf>
    <xf borderId="37" fillId="4" fontId="19" numFmtId="0" xfId="0" applyAlignment="1" applyBorder="1" applyFont="1">
      <alignment horizontal="center" vertical="center"/>
    </xf>
    <xf borderId="28" fillId="4" fontId="19" numFmtId="0" xfId="0" applyAlignment="1" applyBorder="1" applyFont="1">
      <alignment horizontal="center" vertical="center"/>
    </xf>
    <xf borderId="32" fillId="8" fontId="19" numFmtId="0" xfId="0" applyAlignment="1" applyBorder="1" applyFont="1">
      <alignment horizontal="center" vertical="center"/>
    </xf>
    <xf borderId="32" fillId="9" fontId="17" numFmtId="0" xfId="0" applyBorder="1" applyFill="1" applyFont="1"/>
    <xf borderId="25" fillId="9" fontId="18" numFmtId="0" xfId="0" applyAlignment="1" applyBorder="1" applyFont="1">
      <alignment horizontal="left" shrinkToFit="0" vertical="center" wrapText="1"/>
    </xf>
    <xf borderId="32" fillId="10" fontId="17" numFmtId="0" xfId="0" applyBorder="1" applyFill="1" applyFont="1"/>
    <xf borderId="25" fillId="10" fontId="18" numFmtId="0" xfId="0" applyAlignment="1" applyBorder="1" applyFont="1">
      <alignment horizontal="left" shrinkToFit="0" vertical="center" wrapText="1"/>
    </xf>
    <xf borderId="32" fillId="0" fontId="20" numFmtId="0" xfId="0" applyAlignment="1" applyBorder="1" applyFont="1">
      <alignment horizontal="left" shrinkToFit="0" vertical="center" wrapText="1"/>
    </xf>
    <xf borderId="32" fillId="0" fontId="20" numFmtId="0" xfId="0" applyAlignment="1" applyBorder="1" applyFont="1">
      <alignment horizontal="left" readingOrder="0" shrinkToFit="0" vertical="center" wrapText="1"/>
    </xf>
    <xf borderId="32" fillId="0" fontId="21" numFmtId="0" xfId="0" applyAlignment="1" applyBorder="1" applyFont="1">
      <alignment horizontal="center" readingOrder="0" vertical="center"/>
    </xf>
    <xf borderId="32" fillId="0" fontId="17" numFmtId="0" xfId="0" applyBorder="1" applyFont="1"/>
    <xf borderId="32" fillId="11" fontId="17" numFmtId="0" xfId="0" applyBorder="1" applyFill="1" applyFont="1"/>
    <xf borderId="25" fillId="11" fontId="18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horizontal="center" vertical="center"/>
    </xf>
    <xf borderId="38" fillId="0" fontId="23" numFmtId="0" xfId="0" applyAlignment="1" applyBorder="1" applyFont="1">
      <alignment horizontal="center"/>
    </xf>
    <xf borderId="39" fillId="0" fontId="20" numFmtId="0" xfId="0" applyAlignment="1" applyBorder="1" applyFont="1">
      <alignment horizontal="center"/>
    </xf>
    <xf borderId="39" fillId="0" fontId="20" numFmtId="0" xfId="0" applyAlignment="1" applyBorder="1" applyFont="1">
      <alignment horizontal="left"/>
    </xf>
    <xf borderId="39" fillId="0" fontId="20" numFmtId="0" xfId="0" applyAlignment="1" applyBorder="1" applyFont="1">
      <alignment horizontal="left" shrinkToFit="0" wrapText="1"/>
    </xf>
    <xf borderId="0" fillId="0" fontId="20" numFmtId="0" xfId="0" applyAlignment="1" applyFont="1">
      <alignment horizontal="center"/>
    </xf>
    <xf borderId="40" fillId="0" fontId="20" numFmtId="0" xfId="0" applyAlignment="1" applyBorder="1" applyFont="1">
      <alignment horizontal="left"/>
    </xf>
    <xf borderId="40" fillId="0" fontId="20" numFmtId="0" xfId="0" applyAlignment="1" applyBorder="1" applyFont="1">
      <alignment horizontal="left" shrinkToFit="0" wrapText="1"/>
    </xf>
    <xf borderId="40" fillId="0" fontId="20" numFmtId="0" xfId="0" applyAlignment="1" applyBorder="1" applyFont="1">
      <alignment horizontal="center"/>
    </xf>
    <xf borderId="25" fillId="0" fontId="24" numFmtId="0" xfId="0" applyAlignment="1" applyBorder="1" applyFont="1">
      <alignment horizontal="left"/>
    </xf>
    <xf borderId="41" fillId="0" fontId="20" numFmtId="0" xfId="0" applyAlignment="1" applyBorder="1" applyFont="1">
      <alignment horizontal="center"/>
    </xf>
    <xf borderId="42" fillId="0" fontId="20" numFmtId="0" xfId="0" applyAlignment="1" applyBorder="1" applyFont="1">
      <alignment horizontal="left"/>
    </xf>
    <xf borderId="42" fillId="0" fontId="20" numFmtId="0" xfId="0" applyAlignment="1" applyBorder="1" applyFont="1">
      <alignment horizontal="left" shrinkToFit="0" wrapText="1"/>
    </xf>
    <xf borderId="42" fillId="0" fontId="20" numFmtId="0" xfId="0" applyAlignment="1" applyBorder="1" applyFont="1">
      <alignment horizontal="center"/>
    </xf>
    <xf borderId="38" fillId="0" fontId="20" numFmtId="0" xfId="0" applyAlignment="1" applyBorder="1" applyFont="1">
      <alignment horizontal="left"/>
    </xf>
    <xf borderId="38" fillId="0" fontId="20" numFmtId="0" xfId="0" applyAlignment="1" applyBorder="1" applyFont="1">
      <alignment horizontal="center"/>
    </xf>
    <xf borderId="34" fillId="4" fontId="18" numFmtId="0" xfId="0" applyAlignment="1" applyBorder="1" applyFont="1">
      <alignment horizontal="center"/>
    </xf>
    <xf borderId="34" fillId="4" fontId="18" numFmtId="0" xfId="0" applyAlignment="1" applyBorder="1" applyFont="1">
      <alignment horizontal="left"/>
    </xf>
    <xf borderId="34" fillId="4" fontId="18" numFmtId="0" xfId="0" applyAlignment="1" applyBorder="1" applyFont="1">
      <alignment horizontal="left" shrinkToFit="0" wrapText="1"/>
    </xf>
    <xf borderId="43" fillId="10" fontId="18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25" fillId="4" fontId="18" numFmtId="0" xfId="0" applyAlignment="1" applyBorder="1" applyFont="1">
      <alignment horizontal="center"/>
    </xf>
    <xf borderId="46" fillId="0" fontId="3" numFmtId="0" xfId="0" applyBorder="1" applyFont="1"/>
    <xf borderId="32" fillId="10" fontId="18" numFmtId="0" xfId="0" applyAlignment="1" applyBorder="1" applyFont="1">
      <alignment horizontal="center"/>
    </xf>
    <xf borderId="32" fillId="10" fontId="18" numFmtId="0" xfId="0" applyAlignment="1" applyBorder="1" applyFont="1">
      <alignment horizontal="left"/>
    </xf>
    <xf borderId="47" fillId="4" fontId="18" numFmtId="0" xfId="0" applyAlignment="1" applyBorder="1" applyFont="1">
      <alignment horizontal="center"/>
    </xf>
    <xf borderId="32" fillId="4" fontId="18" numFmtId="0" xfId="0" applyAlignment="1" applyBorder="1" applyFont="1">
      <alignment horizontal="left"/>
    </xf>
    <xf borderId="48" fillId="4" fontId="18" numFmtId="0" xfId="0" applyAlignment="1" applyBorder="1" applyFont="1">
      <alignment horizontal="center"/>
    </xf>
    <xf borderId="32" fillId="2" fontId="20" numFmtId="0" xfId="0" applyAlignment="1" applyBorder="1" applyFont="1">
      <alignment horizontal="center"/>
    </xf>
    <xf borderId="34" fillId="2" fontId="20" numFmtId="0" xfId="0" applyAlignment="1" applyBorder="1" applyFont="1">
      <alignment horizontal="left"/>
    </xf>
    <xf borderId="32" fillId="2" fontId="20" numFmtId="0" xfId="0" applyAlignment="1" applyBorder="1" applyFont="1">
      <alignment horizontal="left" shrinkToFit="0" wrapText="1"/>
    </xf>
    <xf borderId="48" fillId="10" fontId="20" numFmtId="0" xfId="0" applyAlignment="1" applyBorder="1" applyFont="1">
      <alignment horizontal="center"/>
    </xf>
    <xf borderId="1" fillId="10" fontId="20" numFmtId="0" xfId="0" applyAlignment="1" applyBorder="1" applyFont="1">
      <alignment horizontal="left"/>
    </xf>
    <xf borderId="32" fillId="10" fontId="20" numFmtId="0" xfId="0" applyAlignment="1" applyBorder="1" applyFont="1">
      <alignment horizontal="left"/>
    </xf>
    <xf borderId="32" fillId="10" fontId="20" numFmtId="0" xfId="0" applyAlignment="1" applyBorder="1" applyFont="1">
      <alignment horizontal="center"/>
    </xf>
    <xf borderId="32" fillId="2" fontId="20" numFmtId="165" xfId="0" applyAlignment="1" applyBorder="1" applyFont="1" applyNumberFormat="1">
      <alignment horizontal="left"/>
    </xf>
    <xf borderId="34" fillId="2" fontId="20" numFmtId="0" xfId="0" applyAlignment="1" applyBorder="1" applyFont="1">
      <alignment horizontal="center" vertical="center"/>
    </xf>
    <xf borderId="32" fillId="10" fontId="20" numFmtId="165" xfId="0" applyAlignment="1" applyBorder="1" applyFont="1" applyNumberFormat="1">
      <alignment horizontal="left"/>
    </xf>
    <xf borderId="49" fillId="0" fontId="20" numFmtId="165" xfId="0" applyAlignment="1" applyBorder="1" applyFont="1" applyNumberFormat="1">
      <alignment horizontal="center"/>
    </xf>
    <xf borderId="49" fillId="0" fontId="3" numFmtId="0" xfId="0" applyBorder="1" applyFont="1"/>
    <xf borderId="32" fillId="2" fontId="25" numFmtId="0" xfId="0" applyAlignment="1" applyBorder="1" applyFont="1">
      <alignment horizontal="center"/>
    </xf>
    <xf borderId="37" fillId="2" fontId="20" numFmtId="0" xfId="0" applyAlignment="1" applyBorder="1" applyFont="1">
      <alignment horizontal="left"/>
    </xf>
    <xf borderId="32" fillId="2" fontId="20" numFmtId="0" xfId="0" applyAlignment="1" applyBorder="1" applyFont="1">
      <alignment horizontal="left"/>
    </xf>
    <xf borderId="50" fillId="2" fontId="20" numFmtId="0" xfId="0" applyAlignment="1" applyBorder="1" applyFont="1">
      <alignment horizontal="center"/>
    </xf>
    <xf borderId="32" fillId="0" fontId="20" numFmtId="0" xfId="0" applyAlignment="1" applyBorder="1" applyFont="1">
      <alignment horizontal="left" shrinkToFit="0" wrapText="1"/>
    </xf>
    <xf borderId="32" fillId="10" fontId="25" numFmtId="0" xfId="0" applyAlignment="1" applyBorder="1" applyFont="1">
      <alignment horizontal="left"/>
    </xf>
    <xf borderId="32" fillId="0" fontId="20" numFmtId="0" xfId="0" applyAlignment="1" applyBorder="1" applyFont="1">
      <alignment horizontal="center"/>
    </xf>
    <xf borderId="32" fillId="0" fontId="20" numFmtId="0" xfId="0" applyAlignment="1" applyBorder="1" applyFont="1">
      <alignment horizontal="left"/>
    </xf>
    <xf borderId="2" fillId="0" fontId="20" numFmtId="0" xfId="0" applyAlignment="1" applyBorder="1" applyFont="1">
      <alignment horizontal="center"/>
    </xf>
    <xf borderId="51" fillId="0" fontId="20" numFmtId="0" xfId="0" applyAlignment="1" applyBorder="1" applyFont="1">
      <alignment horizontal="center"/>
    </xf>
    <xf borderId="51" fillId="0" fontId="20" numFmtId="0" xfId="0" applyAlignment="1" applyBorder="1" applyFont="1">
      <alignment horizontal="left"/>
    </xf>
    <xf borderId="51" fillId="0" fontId="20" numFmtId="0" xfId="0" applyAlignment="1" applyBorder="1" applyFont="1">
      <alignment horizontal="left" shrinkToFit="0" wrapText="1"/>
    </xf>
    <xf borderId="2" fillId="0" fontId="20" numFmtId="0" xfId="0" applyAlignment="1" applyBorder="1" applyFont="1">
      <alignment horizontal="left"/>
    </xf>
    <xf borderId="2" fillId="0" fontId="20" numFmtId="0" xfId="0" applyAlignment="1" applyBorder="1" applyFont="1">
      <alignment horizontal="left" shrinkToFit="0" wrapText="1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left" shrinkToFit="0" wrapText="1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left" shrinkToFit="0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3762375" cy="6686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1676400</xdr:colOff>
      <xdr:row>2</xdr:row>
      <xdr:rowOff>-142875</xdr:rowOff>
    </xdr:from>
    <xdr:ext cx="3829050" cy="83534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</xdr:row>
      <xdr:rowOff>-142875</xdr:rowOff>
    </xdr:from>
    <xdr:ext cx="3686175" cy="100869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57150</xdr:rowOff>
    </xdr:from>
    <xdr:ext cx="3952875" cy="51435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1</xdr:row>
      <xdr:rowOff>57150</xdr:rowOff>
    </xdr:from>
    <xdr:ext cx="4143375" cy="28956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hung.vu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14" width="8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</row>
    <row r="2" ht="13.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</row>
    <row r="3" ht="13.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</row>
    <row r="4" ht="13.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</row>
    <row r="5" ht="13.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</row>
    <row r="6" ht="18.0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"/>
      <c r="P6" s="2"/>
      <c r="Q6" s="2"/>
      <c r="R6" s="2"/>
      <c r="S6" s="2"/>
    </row>
    <row r="7" ht="22.5" customHeight="1">
      <c r="A7" s="1"/>
      <c r="B7" s="3"/>
      <c r="C7" s="3"/>
      <c r="D7" s="3"/>
      <c r="E7" s="4" t="s">
        <v>0</v>
      </c>
      <c r="F7" s="5"/>
      <c r="G7" s="5"/>
      <c r="H7" s="5"/>
      <c r="I7" s="5"/>
      <c r="J7" s="5"/>
      <c r="K7" s="6"/>
      <c r="L7" s="3"/>
      <c r="M7" s="3"/>
      <c r="N7" s="3"/>
      <c r="O7" s="2"/>
      <c r="P7" s="2"/>
      <c r="Q7" s="2"/>
      <c r="R7" s="2"/>
      <c r="S7" s="2"/>
    </row>
    <row r="8" ht="13.5" customHeight="1">
      <c r="A8" s="1"/>
      <c r="B8" s="3"/>
      <c r="C8" s="3"/>
      <c r="D8" s="3"/>
      <c r="E8" s="7"/>
      <c r="F8" s="8"/>
      <c r="G8" s="8"/>
      <c r="H8" s="8"/>
      <c r="I8" s="8"/>
      <c r="J8" s="8"/>
      <c r="K8" s="9"/>
      <c r="L8" s="3"/>
      <c r="M8" s="3"/>
      <c r="N8" s="3"/>
      <c r="O8" s="2"/>
      <c r="P8" s="2"/>
      <c r="Q8" s="2"/>
      <c r="R8" s="2"/>
      <c r="S8" s="2"/>
    </row>
    <row r="9" ht="13.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</row>
    <row r="10" ht="13.5" customHeight="1">
      <c r="A10" s="1"/>
      <c r="B10" s="3"/>
      <c r="C10" s="3"/>
      <c r="D10" s="3"/>
      <c r="E10" s="10" t="s">
        <v>1</v>
      </c>
      <c r="F10" s="5"/>
      <c r="G10" s="5"/>
      <c r="H10" s="5"/>
      <c r="I10" s="5"/>
      <c r="J10" s="5"/>
      <c r="K10" s="6"/>
      <c r="L10" s="3"/>
      <c r="M10" s="3"/>
      <c r="N10" s="3"/>
      <c r="O10" s="2"/>
      <c r="P10" s="2"/>
      <c r="Q10" s="2"/>
      <c r="R10" s="2"/>
      <c r="S10" s="2"/>
    </row>
    <row r="11" ht="13.5" customHeight="1">
      <c r="A11" s="1"/>
      <c r="B11" s="3"/>
      <c r="C11" s="3"/>
      <c r="D11" s="3"/>
      <c r="E11" s="7"/>
      <c r="F11" s="8"/>
      <c r="G11" s="8"/>
      <c r="H11" s="8"/>
      <c r="I11" s="8"/>
      <c r="J11" s="8"/>
      <c r="K11" s="9"/>
      <c r="L11" s="3"/>
      <c r="M11" s="3"/>
      <c r="N11" s="3"/>
      <c r="O11" s="2"/>
      <c r="P11" s="2"/>
      <c r="Q11" s="2"/>
      <c r="R11" s="2"/>
      <c r="S11" s="2"/>
    </row>
    <row r="12" ht="13.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</row>
    <row r="13" ht="13.5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</row>
    <row r="14" ht="13.5" customHeight="1">
      <c r="A14" s="1"/>
      <c r="B14" s="3"/>
      <c r="C14" s="11" t="s">
        <v>2</v>
      </c>
      <c r="D14" s="12"/>
      <c r="E14" s="13" t="s">
        <v>1</v>
      </c>
      <c r="F14" s="14"/>
      <c r="G14" s="12"/>
      <c r="H14" s="3"/>
      <c r="I14" s="11" t="s">
        <v>3</v>
      </c>
      <c r="J14" s="12"/>
      <c r="K14" s="15" t="s">
        <v>4</v>
      </c>
      <c r="L14" s="14"/>
      <c r="M14" s="12"/>
      <c r="N14" s="3"/>
      <c r="O14" s="2"/>
      <c r="P14" s="2"/>
      <c r="Q14" s="2"/>
      <c r="R14" s="2"/>
      <c r="S14" s="2"/>
    </row>
    <row r="15" ht="13.5" customHeight="1">
      <c r="A15" s="1"/>
      <c r="B15" s="3"/>
      <c r="C15" s="11" t="s">
        <v>5</v>
      </c>
      <c r="D15" s="12"/>
      <c r="E15" s="13" t="s">
        <v>1</v>
      </c>
      <c r="F15" s="14"/>
      <c r="G15" s="12"/>
      <c r="H15" s="3"/>
      <c r="I15" s="11" t="s">
        <v>6</v>
      </c>
      <c r="J15" s="12"/>
      <c r="K15" s="15" t="s">
        <v>7</v>
      </c>
      <c r="L15" s="14"/>
      <c r="M15" s="12"/>
      <c r="N15" s="3"/>
      <c r="O15" s="2"/>
      <c r="P15" s="2"/>
      <c r="Q15" s="2"/>
      <c r="R15" s="2"/>
      <c r="S15" s="2"/>
    </row>
    <row r="16" ht="13.5" customHeight="1">
      <c r="A16" s="1"/>
      <c r="B16" s="3"/>
      <c r="C16" s="16" t="s">
        <v>8</v>
      </c>
      <c r="D16" s="16"/>
      <c r="E16" s="17"/>
      <c r="F16" s="17"/>
      <c r="G16" s="17"/>
      <c r="H16" s="3"/>
      <c r="I16" s="11" t="s">
        <v>9</v>
      </c>
      <c r="J16" s="12"/>
      <c r="K16" s="18"/>
      <c r="L16" s="18"/>
      <c r="M16" s="18"/>
      <c r="N16" s="3"/>
      <c r="O16" s="2"/>
      <c r="P16" s="2"/>
      <c r="Q16" s="2"/>
      <c r="R16" s="2"/>
      <c r="S16" s="2"/>
    </row>
    <row r="17" ht="13.5" customHeight="1">
      <c r="A17" s="1"/>
      <c r="B17" s="3"/>
      <c r="C17" s="11" t="s">
        <v>10</v>
      </c>
      <c r="D17" s="12"/>
      <c r="E17" s="19" t="s">
        <v>11</v>
      </c>
      <c r="F17" s="14"/>
      <c r="G17" s="12"/>
      <c r="H17" s="3"/>
      <c r="I17" s="11" t="s">
        <v>12</v>
      </c>
      <c r="J17" s="12"/>
      <c r="K17" s="20" t="s">
        <v>13</v>
      </c>
      <c r="L17" s="14"/>
      <c r="M17" s="12"/>
      <c r="N17" s="3"/>
      <c r="O17" s="2"/>
      <c r="P17" s="2"/>
      <c r="Q17" s="2"/>
      <c r="R17" s="2"/>
      <c r="S17" s="2"/>
    </row>
    <row r="18" ht="13.5" customHeight="1">
      <c r="A18" s="1"/>
      <c r="B18" s="3"/>
      <c r="C18" s="11" t="s">
        <v>6</v>
      </c>
      <c r="D18" s="12"/>
      <c r="E18" s="13" t="s">
        <v>14</v>
      </c>
      <c r="F18" s="14"/>
      <c r="G18" s="12"/>
      <c r="H18" s="3"/>
      <c r="I18" s="11" t="s">
        <v>6</v>
      </c>
      <c r="J18" s="12"/>
      <c r="K18" s="15" t="s">
        <v>15</v>
      </c>
      <c r="L18" s="14"/>
      <c r="M18" s="12"/>
      <c r="N18" s="3"/>
      <c r="O18" s="2"/>
      <c r="P18" s="2"/>
      <c r="Q18" s="2"/>
      <c r="R18" s="2"/>
      <c r="S18" s="2"/>
    </row>
    <row r="19" ht="13.5" customHeight="1">
      <c r="A19" s="1"/>
      <c r="B19" s="3"/>
      <c r="C19" s="11" t="s">
        <v>16</v>
      </c>
      <c r="D19" s="12"/>
      <c r="E19" s="21">
        <v>46153.0</v>
      </c>
      <c r="F19" s="14"/>
      <c r="G19" s="12"/>
      <c r="H19" s="3"/>
      <c r="I19" s="11" t="s">
        <v>17</v>
      </c>
      <c r="J19" s="12"/>
      <c r="K19" s="15"/>
      <c r="L19" s="14"/>
      <c r="M19" s="12"/>
      <c r="N19" s="3"/>
      <c r="O19" s="2"/>
      <c r="P19" s="2"/>
      <c r="Q19" s="2"/>
      <c r="R19" s="2"/>
      <c r="S19" s="2"/>
    </row>
    <row r="20" ht="13.5" customHeight="1">
      <c r="A20" s="1"/>
      <c r="B20" s="3"/>
      <c r="C20" s="11" t="s">
        <v>18</v>
      </c>
      <c r="D20" s="12"/>
      <c r="E20" s="13">
        <v>0.1</v>
      </c>
      <c r="F20" s="14"/>
      <c r="G20" s="12"/>
      <c r="H20" s="3"/>
      <c r="I20" s="11"/>
      <c r="J20" s="12"/>
      <c r="K20" s="22"/>
      <c r="L20" s="14"/>
      <c r="M20" s="12"/>
      <c r="N20" s="3"/>
      <c r="O20" s="2"/>
      <c r="P20" s="2"/>
      <c r="Q20" s="2"/>
      <c r="R20" s="2"/>
      <c r="S20" s="2"/>
    </row>
    <row r="21" ht="13.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"/>
      <c r="P21" s="2"/>
      <c r="Q21" s="2"/>
      <c r="R21" s="2"/>
      <c r="S21" s="2"/>
    </row>
    <row r="22" ht="13.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"/>
      <c r="P22" s="2"/>
      <c r="Q22" s="2"/>
      <c r="R22" s="2"/>
      <c r="S22" s="2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2"/>
      <c r="R23" s="2"/>
      <c r="S23" s="2"/>
    </row>
    <row r="24" ht="13.5" customHeight="1">
      <c r="A24" s="23"/>
      <c r="B24" s="23"/>
      <c r="C24" s="23"/>
      <c r="D24" s="23"/>
      <c r="E24" s="23" t="s">
        <v>19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3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3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3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3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3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3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3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3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3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3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3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3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3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3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3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ht="13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13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3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3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3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7:K8"/>
    <mergeCell ref="E10:K11"/>
    <mergeCell ref="C14:D14"/>
    <mergeCell ref="E14:G14"/>
    <mergeCell ref="K14:M14"/>
    <mergeCell ref="E15:G15"/>
    <mergeCell ref="K15:M15"/>
    <mergeCell ref="I19:J19"/>
    <mergeCell ref="K19:M19"/>
    <mergeCell ref="I14:J14"/>
    <mergeCell ref="I15:J15"/>
    <mergeCell ref="I16:J16"/>
    <mergeCell ref="I17:J17"/>
    <mergeCell ref="K17:M17"/>
    <mergeCell ref="I18:J18"/>
    <mergeCell ref="K18:M18"/>
    <mergeCell ref="C20:D20"/>
    <mergeCell ref="E20:G20"/>
    <mergeCell ref="I20:J20"/>
    <mergeCell ref="K20:M20"/>
    <mergeCell ref="C15:D15"/>
    <mergeCell ref="C17:D17"/>
    <mergeCell ref="E17:G17"/>
    <mergeCell ref="C18:D18"/>
    <mergeCell ref="E18:G18"/>
    <mergeCell ref="C19:D19"/>
    <mergeCell ref="E19:G19"/>
  </mergeCells>
  <hyperlinks>
    <hyperlink r:id="rId2" ref="K17"/>
  </hyperlinks>
  <printOptions/>
  <pageMargins bottom="1.0" footer="0.0" header="0.0" left="0.75" right="0.75" top="1.0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4.63"/>
    <col customWidth="1" min="3" max="3" width="11.13"/>
    <col customWidth="1" min="4" max="4" width="21.75"/>
    <col customWidth="1" min="5" max="5" width="9.0"/>
    <col customWidth="1" min="6" max="6" width="12.38"/>
    <col customWidth="1" min="7" max="7" width="10.38"/>
    <col customWidth="1" min="8" max="9" width="11.25"/>
    <col customWidth="1" min="10" max="10" width="10.63"/>
    <col customWidth="1" min="11" max="11" width="11.75"/>
    <col customWidth="1" min="12" max="12" width="20.38"/>
    <col customWidth="1" min="13" max="13" width="8.75"/>
    <col customWidth="1" min="14" max="14" width="8.13"/>
    <col customWidth="1" min="15" max="15" width="10.63"/>
    <col customWidth="1" min="16" max="16" width="5.88"/>
    <col customWidth="1" min="17" max="17" width="4.63"/>
  </cols>
  <sheetData>
    <row r="1" ht="39.0" customHeight="1">
      <c r="A1" s="24"/>
      <c r="B1" s="25" t="s">
        <v>20</v>
      </c>
      <c r="C1" s="26"/>
      <c r="D1" s="26"/>
      <c r="E1" s="26"/>
      <c r="F1" s="26"/>
      <c r="G1" s="26"/>
      <c r="H1" s="26"/>
      <c r="I1" s="26"/>
      <c r="J1" s="27"/>
      <c r="K1" s="24"/>
      <c r="L1" s="24"/>
      <c r="M1" s="24"/>
      <c r="N1" s="24"/>
      <c r="O1" s="24"/>
      <c r="P1" s="24"/>
      <c r="Q1" s="24"/>
      <c r="R1" s="24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5.75" customHeight="1">
      <c r="A2" s="24"/>
      <c r="B2" s="29" t="s">
        <v>21</v>
      </c>
      <c r="C2" s="29" t="s">
        <v>22</v>
      </c>
      <c r="D2" s="29" t="s">
        <v>23</v>
      </c>
      <c r="E2" s="29" t="s">
        <v>24</v>
      </c>
      <c r="F2" s="29" t="s">
        <v>25</v>
      </c>
      <c r="G2" s="29" t="s">
        <v>26</v>
      </c>
      <c r="H2" s="29" t="s">
        <v>27</v>
      </c>
      <c r="I2" s="29" t="s">
        <v>28</v>
      </c>
      <c r="J2" s="29" t="s">
        <v>29</v>
      </c>
      <c r="K2" s="24"/>
      <c r="L2" s="24"/>
      <c r="M2" s="24"/>
      <c r="N2" s="24"/>
      <c r="O2" s="24"/>
      <c r="P2" s="24"/>
      <c r="Q2" s="24"/>
      <c r="R2" s="24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ht="15.75" customHeight="1">
      <c r="A3" s="24"/>
      <c r="B3" s="30" t="s">
        <v>30</v>
      </c>
      <c r="C3" s="31">
        <f>IFERROR((F3+G3)/(E3-H3-I3),0)</f>
        <v>0</v>
      </c>
      <c r="D3" s="31">
        <f>IFERROR((F3)/(E3-H3-I3),0)</f>
        <v>0</v>
      </c>
      <c r="E3" s="30" t="str">
        <f>SUM(F3:J3)</f>
        <v>#REF!</v>
      </c>
      <c r="F3" s="30" t="str">
        <f>'Tên tính năng'!J1+'Tên tính năng'!M1</f>
        <v>#REF!</v>
      </c>
      <c r="G3" s="30" t="str">
        <f>'Tên tính năng'!J2+'Tên tính năng'!M2</f>
        <v>#REF!</v>
      </c>
      <c r="H3" s="30" t="str">
        <f>'Tên tính năng'!J5+'Tên tính năng'!M5</f>
        <v>#REF!</v>
      </c>
      <c r="I3" s="30" t="str">
        <f>'Tên tính năng'!J4+'Tên tính năng'!M4</f>
        <v>#REF!</v>
      </c>
      <c r="J3" s="30" t="str">
        <f>'Tên tính năng'!J3+'Tên tính năng'!M3</f>
        <v>#REF!</v>
      </c>
      <c r="K3" s="24"/>
      <c r="L3" s="24"/>
      <c r="M3" s="24"/>
      <c r="N3" s="24"/>
      <c r="O3" s="24"/>
      <c r="P3" s="24"/>
      <c r="Q3" s="24"/>
      <c r="R3" s="24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ht="15.75" customHeight="1">
      <c r="A4" s="24"/>
      <c r="B4" s="30"/>
      <c r="C4" s="31"/>
      <c r="D4" s="31"/>
      <c r="E4" s="30"/>
      <c r="F4" s="30"/>
      <c r="G4" s="30"/>
      <c r="H4" s="30"/>
      <c r="I4" s="30"/>
      <c r="J4" s="30"/>
      <c r="K4" s="24"/>
      <c r="L4" s="24"/>
      <c r="M4" s="24"/>
      <c r="N4" s="24"/>
      <c r="O4" s="24"/>
      <c r="P4" s="24"/>
      <c r="Q4" s="24"/>
      <c r="R4" s="24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ht="15.75" customHeight="1">
      <c r="A5" s="24"/>
      <c r="B5" s="30"/>
      <c r="C5" s="31"/>
      <c r="D5" s="31"/>
      <c r="E5" s="30"/>
      <c r="F5" s="30"/>
      <c r="G5" s="30"/>
      <c r="H5" s="30"/>
      <c r="I5" s="30"/>
      <c r="J5" s="30"/>
      <c r="K5" s="24"/>
      <c r="L5" s="24"/>
      <c r="M5" s="24"/>
      <c r="N5" s="24"/>
      <c r="O5" s="24"/>
      <c r="P5" s="24"/>
      <c r="Q5" s="24"/>
      <c r="R5" s="24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15.75" customHeight="1">
      <c r="A6" s="24"/>
      <c r="B6" s="30"/>
      <c r="C6" s="31"/>
      <c r="D6" s="31"/>
      <c r="E6" s="30"/>
      <c r="F6" s="30"/>
      <c r="G6" s="30"/>
      <c r="H6" s="30"/>
      <c r="I6" s="30"/>
      <c r="J6" s="30"/>
      <c r="K6" s="24"/>
      <c r="L6" s="24"/>
      <c r="M6" s="24"/>
      <c r="N6" s="24"/>
      <c r="O6" s="24"/>
      <c r="P6" s="24"/>
      <c r="Q6" s="24"/>
      <c r="R6" s="24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15.75" customHeight="1">
      <c r="A7" s="24"/>
      <c r="B7" s="30"/>
      <c r="C7" s="31"/>
      <c r="D7" s="31"/>
      <c r="E7" s="30"/>
      <c r="F7" s="30"/>
      <c r="G7" s="30"/>
      <c r="H7" s="30"/>
      <c r="I7" s="30"/>
      <c r="J7" s="30"/>
      <c r="K7" s="24"/>
      <c r="L7" s="24"/>
      <c r="M7" s="24"/>
      <c r="N7" s="24"/>
      <c r="O7" s="24"/>
      <c r="P7" s="24"/>
      <c r="Q7" s="24"/>
      <c r="R7" s="24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15.75" customHeight="1">
      <c r="A8" s="24"/>
      <c r="B8" s="30"/>
      <c r="C8" s="31"/>
      <c r="D8" s="31"/>
      <c r="E8" s="30"/>
      <c r="F8" s="30"/>
      <c r="G8" s="30"/>
      <c r="H8" s="30"/>
      <c r="I8" s="30"/>
      <c r="J8" s="30"/>
      <c r="K8" s="24"/>
      <c r="L8" s="24"/>
      <c r="M8" s="24"/>
      <c r="N8" s="24"/>
      <c r="O8" s="24"/>
      <c r="P8" s="24"/>
      <c r="Q8" s="24"/>
      <c r="R8" s="24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5.75" customHeight="1">
      <c r="A9" s="24"/>
      <c r="B9" s="29" t="s">
        <v>31</v>
      </c>
      <c r="C9" s="32">
        <f>IFERROR((F9+G9)/(E9-H9-I9),0)</f>
        <v>0</v>
      </c>
      <c r="D9" s="32">
        <f>IFERROR((F9)/(E9-H9-I9),0)</f>
        <v>0</v>
      </c>
      <c r="E9" s="29" t="str">
        <f t="shared" ref="E9:J9" si="1">SUM(E3:E8)</f>
        <v>#REF!</v>
      </c>
      <c r="F9" s="29" t="str">
        <f t="shared" si="1"/>
        <v>#REF!</v>
      </c>
      <c r="G9" s="29" t="str">
        <f t="shared" si="1"/>
        <v>#REF!</v>
      </c>
      <c r="H9" s="29" t="str">
        <f t="shared" si="1"/>
        <v>#REF!</v>
      </c>
      <c r="I9" s="29" t="str">
        <f t="shared" si="1"/>
        <v>#REF!</v>
      </c>
      <c r="J9" s="29" t="str">
        <f t="shared" si="1"/>
        <v>#REF!</v>
      </c>
      <c r="K9" s="24"/>
      <c r="L9" s="24"/>
      <c r="M9" s="24"/>
      <c r="N9" s="24"/>
      <c r="O9" s="24"/>
      <c r="P9" s="24"/>
      <c r="Q9" s="24"/>
      <c r="R9" s="24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12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2.75" customHeight="1">
      <c r="A11" s="33"/>
      <c r="B11" s="34" t="s">
        <v>32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6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2.75" customHeight="1">
      <c r="A12" s="33"/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9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26.25" customHeight="1">
      <c r="A13" s="40"/>
      <c r="B13" s="41" t="s">
        <v>33</v>
      </c>
      <c r="C13" s="42" t="s">
        <v>21</v>
      </c>
      <c r="D13" s="42" t="s">
        <v>34</v>
      </c>
      <c r="E13" s="43" t="s">
        <v>8</v>
      </c>
      <c r="F13" s="44" t="s">
        <v>35</v>
      </c>
      <c r="G13" s="44" t="s">
        <v>36</v>
      </c>
      <c r="H13" s="45" t="s">
        <v>37</v>
      </c>
      <c r="I13" s="26"/>
      <c r="J13" s="26"/>
      <c r="K13" s="27"/>
      <c r="L13" s="46" t="s">
        <v>38</v>
      </c>
      <c r="M13" s="26"/>
      <c r="N13" s="26"/>
      <c r="O13" s="26"/>
      <c r="P13" s="26"/>
      <c r="Q13" s="26"/>
      <c r="R13" s="2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ht="27.75" customHeight="1">
      <c r="A14" s="40"/>
      <c r="B14" s="47"/>
      <c r="C14" s="47"/>
      <c r="D14" s="47"/>
      <c r="E14" s="47"/>
      <c r="F14" s="47"/>
      <c r="G14" s="47"/>
      <c r="H14" s="42" t="s">
        <v>39</v>
      </c>
      <c r="I14" s="42" t="s">
        <v>40</v>
      </c>
      <c r="J14" s="42" t="s">
        <v>41</v>
      </c>
      <c r="K14" s="42" t="s">
        <v>42</v>
      </c>
      <c r="L14" s="48" t="s">
        <v>43</v>
      </c>
      <c r="M14" s="48" t="s">
        <v>44</v>
      </c>
      <c r="N14" s="48" t="s">
        <v>45</v>
      </c>
      <c r="O14" s="48" t="s">
        <v>46</v>
      </c>
      <c r="P14" s="48" t="s">
        <v>47</v>
      </c>
      <c r="Q14" s="48" t="s">
        <v>41</v>
      </c>
      <c r="R14" s="48" t="s">
        <v>42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ht="36.75" customHeight="1">
      <c r="A15" s="40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ht="12.75" customHeight="1">
      <c r="A16" s="40"/>
      <c r="B16" s="50">
        <f>ROW()-6</f>
        <v>10</v>
      </c>
      <c r="C16" s="51" t="s">
        <v>30</v>
      </c>
      <c r="D16" s="52" t="s">
        <v>48</v>
      </c>
      <c r="E16" s="53"/>
      <c r="F16" s="53"/>
      <c r="G16" s="53"/>
      <c r="H16" s="53"/>
      <c r="I16" s="53"/>
      <c r="J16" s="54" t="s">
        <v>11</v>
      </c>
      <c r="K16" s="53" t="s">
        <v>49</v>
      </c>
      <c r="L16" s="53"/>
      <c r="M16" s="55"/>
      <c r="N16" s="55"/>
      <c r="O16" s="53"/>
      <c r="P16" s="56">
        <f>L16+N16</f>
        <v>0</v>
      </c>
      <c r="Q16" s="53"/>
      <c r="R16" s="53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13:G15"/>
    <mergeCell ref="H13:K13"/>
    <mergeCell ref="H14:H15"/>
    <mergeCell ref="I14:I15"/>
    <mergeCell ref="J14:J15"/>
    <mergeCell ref="K14:K15"/>
    <mergeCell ref="L13:R13"/>
    <mergeCell ref="L14:L15"/>
    <mergeCell ref="M14:M15"/>
    <mergeCell ref="N14:N15"/>
    <mergeCell ref="O14:O15"/>
    <mergeCell ref="P14:P15"/>
    <mergeCell ref="Q14:Q15"/>
    <mergeCell ref="R14:R15"/>
    <mergeCell ref="B1:J1"/>
    <mergeCell ref="B11:R12"/>
    <mergeCell ref="B13:B15"/>
    <mergeCell ref="C13:C15"/>
    <mergeCell ref="D13:D15"/>
    <mergeCell ref="E13:E15"/>
    <mergeCell ref="F13:F15"/>
  </mergeCells>
  <dataValidations>
    <dataValidation type="list" allowBlank="1" showErrorMessage="1" sqref="K16">
      <formula1>"To do,In progress,Review,Done"</formula1>
    </dataValidation>
    <dataValidation type="list" allowBlank="1" showErrorMessage="1" sqref="R16">
      <formula1>"To do,Testing,Fix bug,Regression,Done"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80.75"/>
    <col customWidth="1" min="3" max="3" width="12.63"/>
    <col customWidth="1" min="4" max="4" width="14.75"/>
    <col customWidth="1" min="5" max="6" width="12.63"/>
  </cols>
  <sheetData>
    <row r="1" ht="32.25" customHeight="1">
      <c r="A1" s="57" t="s">
        <v>50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75" customHeight="1">
      <c r="A2" s="59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75" customHeight="1">
      <c r="A3" s="60" t="s">
        <v>51</v>
      </c>
      <c r="B3" s="61"/>
      <c r="C3" s="61"/>
      <c r="D3" s="62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5.75" customHeight="1">
      <c r="A4" s="63" t="s">
        <v>52</v>
      </c>
      <c r="B4" s="64" t="s">
        <v>53</v>
      </c>
      <c r="C4" s="65" t="s">
        <v>18</v>
      </c>
      <c r="D4" s="66" t="s">
        <v>54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8.0" customHeight="1">
      <c r="A5" s="67">
        <f>Overview!E19</f>
        <v>46153</v>
      </c>
      <c r="B5" s="68" t="s">
        <v>55</v>
      </c>
      <c r="C5" s="69">
        <v>0.1</v>
      </c>
      <c r="D5" s="69" t="str">
        <f>Overview!E17</f>
        <v>Trang.bui3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75" customHeight="1">
      <c r="A6" s="70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75" customHeight="1">
      <c r="A7" s="70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75" customHeight="1">
      <c r="A8" s="70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5.75" customHeight="1">
      <c r="A9" s="70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75" customHeight="1">
      <c r="A10" s="70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75" customHeight="1">
      <c r="A11" s="70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75" customHeight="1">
      <c r="A12" s="70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70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75" customHeight="1">
      <c r="A14" s="70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70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75" customHeight="1">
      <c r="A16" s="70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>
      <c r="A17" s="70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>
      <c r="A18" s="70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>
      <c r="A19" s="70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>
      <c r="A20" s="70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70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70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70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70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70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70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70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70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70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7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70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70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70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7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7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7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70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70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70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70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70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70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70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70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70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70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70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70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70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70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70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70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70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70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70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70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70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70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70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70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70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>
      <c r="A62" s="70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70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70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70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70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70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70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70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70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70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70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70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70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70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70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70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70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70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70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70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70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70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70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70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70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70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70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70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70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70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70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70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70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70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70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70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70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70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70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70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70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70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70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70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70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70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70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70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70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70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70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70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70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70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70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70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70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70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70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70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70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70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70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70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70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70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70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70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70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70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70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70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70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70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70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70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70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70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70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70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70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70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70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70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70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70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70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70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70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70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70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70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70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70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70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70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70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70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70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70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70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70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70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70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70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70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70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70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70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70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70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70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70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70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70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70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70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70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70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70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70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70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70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70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70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70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70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70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70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70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70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70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70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70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70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70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70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70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70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70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70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70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70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70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70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70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70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70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70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70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3"/>
  <cols>
    <col customWidth="1" min="1" max="1" width="14.25"/>
    <col customWidth="1" min="2" max="2" width="39.0"/>
    <col customWidth="1" min="3" max="3" width="37.38"/>
    <col customWidth="1" min="4" max="4" width="50.38"/>
    <col customWidth="1" min="5" max="5" width="48.63"/>
    <col customWidth="1" min="6" max="7" width="16.0"/>
    <col customWidth="1" min="11" max="11" width="16.0"/>
    <col customWidth="1" min="15" max="15" width="16.0"/>
    <col customWidth="1" min="17" max="17" width="16.0"/>
  </cols>
  <sheetData>
    <row r="1" ht="15.75" customHeight="1">
      <c r="A1" s="71" t="s">
        <v>56</v>
      </c>
      <c r="B1" s="72" t="s">
        <v>57</v>
      </c>
      <c r="C1" s="73"/>
      <c r="D1" s="72" t="s">
        <v>58</v>
      </c>
      <c r="E1" s="61"/>
      <c r="F1" s="73"/>
      <c r="G1" s="74" t="s">
        <v>59</v>
      </c>
      <c r="H1" s="74" t="s">
        <v>60</v>
      </c>
      <c r="I1" s="75" t="s">
        <v>25</v>
      </c>
      <c r="J1" s="76">
        <f>COUNTIF(G8:G291,"Pass")</f>
        <v>0</v>
      </c>
      <c r="K1" s="74" t="s">
        <v>61</v>
      </c>
      <c r="L1" s="75" t="s">
        <v>25</v>
      </c>
      <c r="M1" s="77">
        <f>COUNTIF(K8:K291,"Pass")</f>
        <v>0</v>
      </c>
      <c r="N1" s="78" t="s">
        <v>62</v>
      </c>
      <c r="O1" s="79">
        <f>SUM(J1:J4)+SUM(M1:M4)</f>
        <v>254</v>
      </c>
      <c r="P1" s="78" t="s">
        <v>63</v>
      </c>
      <c r="Q1" s="79">
        <f>COUNTA(#REF!)+COUNTA(#REF!)</f>
        <v>2</v>
      </c>
      <c r="R1" s="80"/>
    </row>
    <row r="2" ht="15.75" customHeight="1">
      <c r="A2" s="71" t="s">
        <v>64</v>
      </c>
      <c r="B2" s="72" t="s">
        <v>65</v>
      </c>
      <c r="C2" s="73"/>
      <c r="D2" s="72"/>
      <c r="E2" s="61"/>
      <c r="F2" s="73"/>
      <c r="G2" s="81"/>
      <c r="H2" s="81"/>
      <c r="I2" s="75" t="s">
        <v>26</v>
      </c>
      <c r="J2" s="76">
        <f>COUNTIF(G8:G291,"Fail")</f>
        <v>0</v>
      </c>
      <c r="K2" s="81"/>
      <c r="L2" s="75" t="s">
        <v>26</v>
      </c>
      <c r="M2" s="77">
        <f>COUNTIF(K9:K292,"Fail")</f>
        <v>0</v>
      </c>
      <c r="N2" s="81"/>
      <c r="O2" s="81"/>
      <c r="P2" s="81"/>
      <c r="Q2" s="81"/>
      <c r="R2" s="80"/>
    </row>
    <row r="3" ht="15.75" customHeight="1">
      <c r="A3" s="71" t="s">
        <v>34</v>
      </c>
      <c r="B3" s="72"/>
      <c r="C3" s="73"/>
      <c r="D3" s="72" t="s">
        <v>48</v>
      </c>
      <c r="E3" s="61"/>
      <c r="F3" s="73"/>
      <c r="G3" s="81"/>
      <c r="H3" s="81"/>
      <c r="I3" s="75" t="s">
        <v>29</v>
      </c>
      <c r="J3" s="76">
        <f>COUNTIF(G10:G293,"Untested")</f>
        <v>127</v>
      </c>
      <c r="K3" s="81"/>
      <c r="L3" s="75" t="s">
        <v>29</v>
      </c>
      <c r="M3" s="77">
        <f>COUNTIF(K10:K293,"Untested")</f>
        <v>127</v>
      </c>
      <c r="N3" s="81"/>
      <c r="O3" s="81"/>
      <c r="P3" s="81"/>
      <c r="Q3" s="81"/>
      <c r="R3" s="80"/>
    </row>
    <row r="4" ht="15.75" customHeight="1">
      <c r="A4" s="71" t="s">
        <v>66</v>
      </c>
      <c r="B4" s="72" t="str">
        <f>Overview!E17</f>
        <v>Trang.bui3</v>
      </c>
      <c r="C4" s="73"/>
      <c r="D4" s="72" t="s">
        <v>67</v>
      </c>
      <c r="E4" s="61"/>
      <c r="F4" s="73"/>
      <c r="G4" s="81"/>
      <c r="H4" s="81"/>
      <c r="I4" s="75" t="s">
        <v>28</v>
      </c>
      <c r="J4" s="76">
        <f>COUNTIF(G8:G291,"N/A")</f>
        <v>0</v>
      </c>
      <c r="K4" s="81"/>
      <c r="L4" s="75" t="s">
        <v>28</v>
      </c>
      <c r="M4" s="77">
        <f>COUNTIF(K11:K294,"N/A")</f>
        <v>0</v>
      </c>
      <c r="N4" s="81"/>
      <c r="O4" s="81"/>
      <c r="P4" s="81"/>
      <c r="Q4" s="81"/>
      <c r="R4" s="80"/>
    </row>
    <row r="5" ht="15.75" customHeight="1">
      <c r="A5" s="71" t="s">
        <v>68</v>
      </c>
      <c r="B5" s="72"/>
      <c r="C5" s="73"/>
      <c r="D5" s="72"/>
      <c r="E5" s="61"/>
      <c r="F5" s="73"/>
      <c r="G5" s="82"/>
      <c r="H5" s="82"/>
      <c r="I5" s="75" t="s">
        <v>27</v>
      </c>
      <c r="J5" s="76">
        <f>COUNTIF(G8:G291,"Pending")</f>
        <v>0</v>
      </c>
      <c r="K5" s="82"/>
      <c r="L5" s="75" t="s">
        <v>27</v>
      </c>
      <c r="M5" s="77">
        <f>COUNTIF(K12:K295,"Pending")</f>
        <v>0</v>
      </c>
      <c r="N5" s="82"/>
      <c r="O5" s="82"/>
      <c r="P5" s="82"/>
      <c r="Q5" s="82"/>
      <c r="R5" s="80"/>
    </row>
    <row r="6" ht="15.75" customHeight="1">
      <c r="A6" s="83" t="s">
        <v>69</v>
      </c>
      <c r="B6" s="84" t="s">
        <v>70</v>
      </c>
      <c r="C6" s="84" t="s">
        <v>71</v>
      </c>
      <c r="D6" s="84" t="s">
        <v>72</v>
      </c>
      <c r="E6" s="84" t="s">
        <v>73</v>
      </c>
      <c r="F6" s="83" t="s">
        <v>74</v>
      </c>
      <c r="G6" s="85" t="s">
        <v>75</v>
      </c>
      <c r="H6" s="61"/>
      <c r="I6" s="61"/>
      <c r="J6" s="73"/>
      <c r="K6" s="85" t="s">
        <v>76</v>
      </c>
      <c r="L6" s="61"/>
      <c r="M6" s="61"/>
      <c r="N6" s="73"/>
      <c r="O6" s="86" t="s">
        <v>77</v>
      </c>
      <c r="P6" s="73"/>
      <c r="Q6" s="86" t="s">
        <v>78</v>
      </c>
      <c r="R6" s="73"/>
    </row>
    <row r="7" ht="15.75" customHeight="1">
      <c r="A7" s="82"/>
      <c r="B7" s="82"/>
      <c r="C7" s="82"/>
      <c r="D7" s="82"/>
      <c r="E7" s="82"/>
      <c r="F7" s="82"/>
      <c r="G7" s="87" t="s">
        <v>79</v>
      </c>
      <c r="H7" s="88" t="s">
        <v>41</v>
      </c>
      <c r="I7" s="88" t="s">
        <v>80</v>
      </c>
      <c r="J7" s="88" t="s">
        <v>81</v>
      </c>
      <c r="K7" s="87" t="s">
        <v>79</v>
      </c>
      <c r="L7" s="88" t="s">
        <v>41</v>
      </c>
      <c r="M7" s="88" t="s">
        <v>80</v>
      </c>
      <c r="N7" s="88" t="s">
        <v>81</v>
      </c>
      <c r="O7" s="89" t="s">
        <v>79</v>
      </c>
      <c r="P7" s="89" t="s">
        <v>41</v>
      </c>
      <c r="Q7" s="89" t="s">
        <v>79</v>
      </c>
      <c r="R7" s="89" t="s">
        <v>41</v>
      </c>
    </row>
    <row r="8">
      <c r="A8" s="90"/>
      <c r="B8" s="91" t="s">
        <v>82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73"/>
    </row>
    <row r="9" outlineLevel="1">
      <c r="A9" s="92"/>
      <c r="B9" s="93" t="s">
        <v>83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73"/>
    </row>
    <row r="10" outlineLevel="2">
      <c r="A10" s="94" t="str">
        <f t="shared" ref="A10:A18" si="1">"TC_" &amp; TEXT(ROW()-9,"000")</f>
        <v>TC_001</v>
      </c>
      <c r="B10" s="94" t="s">
        <v>84</v>
      </c>
      <c r="C10" s="94" t="s">
        <v>85</v>
      </c>
      <c r="D10" s="94" t="s">
        <v>86</v>
      </c>
      <c r="E10" s="95" t="s">
        <v>87</v>
      </c>
      <c r="F10" s="94"/>
      <c r="G10" s="96" t="s">
        <v>29</v>
      </c>
      <c r="H10" s="97"/>
      <c r="I10" s="97"/>
      <c r="J10" s="97"/>
      <c r="K10" s="96" t="s">
        <v>29</v>
      </c>
      <c r="L10" s="97"/>
      <c r="M10" s="97"/>
      <c r="N10" s="97"/>
      <c r="O10" s="97"/>
      <c r="P10" s="97"/>
      <c r="Q10" s="97"/>
      <c r="R10" s="97"/>
    </row>
    <row r="11" outlineLevel="2">
      <c r="A11" s="94" t="str">
        <f t="shared" si="1"/>
        <v>TC_002</v>
      </c>
      <c r="B11" s="94" t="s">
        <v>88</v>
      </c>
      <c r="C11" s="94" t="s">
        <v>89</v>
      </c>
      <c r="D11" s="94" t="s">
        <v>90</v>
      </c>
      <c r="E11" s="94" t="s">
        <v>91</v>
      </c>
      <c r="F11" s="94"/>
      <c r="G11" s="96" t="s">
        <v>29</v>
      </c>
      <c r="H11" s="97"/>
      <c r="I11" s="97"/>
      <c r="J11" s="97"/>
      <c r="K11" s="96" t="s">
        <v>29</v>
      </c>
      <c r="L11" s="97"/>
      <c r="M11" s="97"/>
      <c r="N11" s="97"/>
      <c r="O11" s="97"/>
      <c r="P11" s="97"/>
      <c r="Q11" s="97"/>
      <c r="R11" s="97"/>
    </row>
    <row r="12" outlineLevel="2">
      <c r="A12" s="94" t="str">
        <f t="shared" si="1"/>
        <v>TC_003</v>
      </c>
      <c r="B12" s="94" t="s">
        <v>92</v>
      </c>
      <c r="C12" s="94" t="s">
        <v>93</v>
      </c>
      <c r="D12" s="94" t="s">
        <v>94</v>
      </c>
      <c r="E12" s="94" t="s">
        <v>95</v>
      </c>
      <c r="F12" s="94"/>
      <c r="G12" s="96" t="s">
        <v>29</v>
      </c>
      <c r="H12" s="97"/>
      <c r="I12" s="97"/>
      <c r="J12" s="97"/>
      <c r="K12" s="96" t="s">
        <v>29</v>
      </c>
      <c r="L12" s="97"/>
      <c r="M12" s="97"/>
      <c r="N12" s="97"/>
      <c r="O12" s="97"/>
      <c r="P12" s="97"/>
      <c r="Q12" s="97"/>
      <c r="R12" s="97"/>
    </row>
    <row r="13" outlineLevel="2">
      <c r="A13" s="94" t="str">
        <f t="shared" si="1"/>
        <v>TC_004</v>
      </c>
      <c r="B13" s="94" t="s">
        <v>96</v>
      </c>
      <c r="C13" s="94" t="s">
        <v>97</v>
      </c>
      <c r="D13" s="94" t="s">
        <v>98</v>
      </c>
      <c r="E13" s="94" t="s">
        <v>99</v>
      </c>
      <c r="F13" s="94"/>
      <c r="G13" s="96" t="s">
        <v>29</v>
      </c>
      <c r="H13" s="97"/>
      <c r="I13" s="97"/>
      <c r="J13" s="97"/>
      <c r="K13" s="96" t="s">
        <v>29</v>
      </c>
      <c r="L13" s="97"/>
      <c r="M13" s="97"/>
      <c r="N13" s="97"/>
      <c r="O13" s="97"/>
      <c r="P13" s="97"/>
      <c r="Q13" s="97"/>
      <c r="R13" s="97"/>
    </row>
    <row r="14" outlineLevel="2">
      <c r="A14" s="94" t="str">
        <f t="shared" si="1"/>
        <v>TC_005</v>
      </c>
      <c r="B14" s="94" t="s">
        <v>100</v>
      </c>
      <c r="C14" s="94" t="s">
        <v>89</v>
      </c>
      <c r="D14" s="94" t="s">
        <v>101</v>
      </c>
      <c r="E14" s="94" t="s">
        <v>102</v>
      </c>
      <c r="F14" s="94"/>
      <c r="G14" s="96" t="s">
        <v>29</v>
      </c>
      <c r="H14" s="97"/>
      <c r="I14" s="97"/>
      <c r="J14" s="97"/>
      <c r="K14" s="96" t="s">
        <v>29</v>
      </c>
      <c r="L14" s="97"/>
      <c r="M14" s="97"/>
      <c r="N14" s="97"/>
      <c r="O14" s="97"/>
      <c r="P14" s="97"/>
      <c r="Q14" s="97"/>
      <c r="R14" s="97"/>
    </row>
    <row r="15" outlineLevel="2">
      <c r="A15" s="94" t="str">
        <f t="shared" si="1"/>
        <v>TC_006</v>
      </c>
      <c r="B15" s="94" t="s">
        <v>103</v>
      </c>
      <c r="C15" s="94" t="s">
        <v>104</v>
      </c>
      <c r="D15" s="94" t="s">
        <v>105</v>
      </c>
      <c r="E15" s="94" t="s">
        <v>106</v>
      </c>
      <c r="F15" s="94"/>
      <c r="G15" s="96" t="s">
        <v>29</v>
      </c>
      <c r="H15" s="97"/>
      <c r="I15" s="97"/>
      <c r="J15" s="97"/>
      <c r="K15" s="96" t="s">
        <v>29</v>
      </c>
      <c r="L15" s="97"/>
      <c r="M15" s="97"/>
      <c r="N15" s="97"/>
      <c r="O15" s="97"/>
      <c r="P15" s="97"/>
      <c r="Q15" s="97"/>
      <c r="R15" s="97"/>
    </row>
    <row r="16" outlineLevel="2">
      <c r="A16" s="94" t="str">
        <f t="shared" si="1"/>
        <v>TC_007</v>
      </c>
      <c r="B16" s="94" t="s">
        <v>107</v>
      </c>
      <c r="C16" s="94" t="s">
        <v>108</v>
      </c>
      <c r="D16" s="94" t="s">
        <v>109</v>
      </c>
      <c r="E16" s="94" t="s">
        <v>110</v>
      </c>
      <c r="F16" s="94"/>
      <c r="G16" s="96" t="s">
        <v>29</v>
      </c>
      <c r="H16" s="97"/>
      <c r="I16" s="97"/>
      <c r="J16" s="97"/>
      <c r="K16" s="96" t="s">
        <v>29</v>
      </c>
      <c r="L16" s="97"/>
      <c r="M16" s="97"/>
      <c r="N16" s="97"/>
      <c r="O16" s="97"/>
      <c r="P16" s="97"/>
      <c r="Q16" s="97"/>
      <c r="R16" s="97"/>
    </row>
    <row r="17" outlineLevel="2">
      <c r="A17" s="94" t="str">
        <f t="shared" si="1"/>
        <v>TC_008</v>
      </c>
      <c r="B17" s="94" t="s">
        <v>111</v>
      </c>
      <c r="C17" s="94" t="s">
        <v>112</v>
      </c>
      <c r="D17" s="94" t="s">
        <v>113</v>
      </c>
      <c r="E17" s="94" t="s">
        <v>114</v>
      </c>
      <c r="F17" s="94"/>
      <c r="G17" s="96" t="s">
        <v>29</v>
      </c>
      <c r="H17" s="97"/>
      <c r="I17" s="97"/>
      <c r="J17" s="97"/>
      <c r="K17" s="96" t="s">
        <v>29</v>
      </c>
      <c r="L17" s="97"/>
      <c r="M17" s="97"/>
      <c r="N17" s="97"/>
      <c r="O17" s="97"/>
      <c r="P17" s="97"/>
      <c r="Q17" s="97"/>
      <c r="R17" s="97"/>
    </row>
    <row r="18" outlineLevel="2">
      <c r="A18" s="94" t="str">
        <f t="shared" si="1"/>
        <v>TC_009</v>
      </c>
      <c r="B18" s="94" t="s">
        <v>115</v>
      </c>
      <c r="C18" s="94" t="s">
        <v>116</v>
      </c>
      <c r="D18" s="94" t="s">
        <v>113</v>
      </c>
      <c r="E18" s="94" t="s">
        <v>117</v>
      </c>
      <c r="F18" s="94"/>
      <c r="G18" s="96" t="s">
        <v>29</v>
      </c>
      <c r="H18" s="97"/>
      <c r="I18" s="97"/>
      <c r="J18" s="97"/>
      <c r="K18" s="96" t="s">
        <v>29</v>
      </c>
      <c r="L18" s="97"/>
      <c r="M18" s="97"/>
      <c r="N18" s="97"/>
      <c r="O18" s="97"/>
      <c r="P18" s="97"/>
      <c r="Q18" s="97"/>
      <c r="R18" s="97"/>
    </row>
    <row r="19" outlineLevel="1">
      <c r="A19" s="92"/>
      <c r="B19" s="93" t="s">
        <v>118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73"/>
    </row>
    <row r="20" outlineLevel="2">
      <c r="A20" s="94" t="str">
        <f t="shared" ref="A20:A40" si="2">"TC_" &amp; TEXT(ROW()-10,"000")</f>
        <v>TC_010</v>
      </c>
      <c r="B20" s="94" t="s">
        <v>119</v>
      </c>
      <c r="C20" s="94" t="s">
        <v>89</v>
      </c>
      <c r="D20" s="94" t="s">
        <v>120</v>
      </c>
      <c r="E20" s="94" t="s">
        <v>121</v>
      </c>
      <c r="F20" s="94"/>
      <c r="G20" s="96" t="s">
        <v>29</v>
      </c>
      <c r="H20" s="97"/>
      <c r="I20" s="97"/>
      <c r="J20" s="97"/>
      <c r="K20" s="96" t="s">
        <v>29</v>
      </c>
      <c r="L20" s="97"/>
      <c r="M20" s="97"/>
      <c r="N20" s="97"/>
      <c r="O20" s="97"/>
      <c r="P20" s="97"/>
      <c r="Q20" s="97"/>
      <c r="R20" s="97"/>
    </row>
    <row r="21" ht="15.75" customHeight="1" outlineLevel="2">
      <c r="A21" s="94" t="str">
        <f t="shared" si="2"/>
        <v>TC_011</v>
      </c>
      <c r="B21" s="95" t="s">
        <v>122</v>
      </c>
      <c r="C21" s="95" t="s">
        <v>123</v>
      </c>
      <c r="D21" s="94" t="s">
        <v>120</v>
      </c>
      <c r="E21" s="95" t="s">
        <v>124</v>
      </c>
      <c r="F21" s="94"/>
      <c r="G21" s="96" t="s">
        <v>29</v>
      </c>
      <c r="H21" s="97"/>
      <c r="I21" s="97"/>
      <c r="J21" s="97"/>
      <c r="K21" s="96" t="s">
        <v>29</v>
      </c>
      <c r="L21" s="97"/>
      <c r="M21" s="97"/>
      <c r="N21" s="97"/>
      <c r="O21" s="97"/>
      <c r="P21" s="97"/>
      <c r="Q21" s="97"/>
      <c r="R21" s="97"/>
    </row>
    <row r="22" ht="15.75" customHeight="1" outlineLevel="2">
      <c r="A22" s="94" t="str">
        <f t="shared" si="2"/>
        <v>TC_012</v>
      </c>
      <c r="B22" s="94" t="s">
        <v>125</v>
      </c>
      <c r="C22" s="94" t="s">
        <v>89</v>
      </c>
      <c r="D22" s="94" t="s">
        <v>126</v>
      </c>
      <c r="E22" s="94" t="s">
        <v>127</v>
      </c>
      <c r="F22" s="94" t="s">
        <v>128</v>
      </c>
      <c r="G22" s="96" t="s">
        <v>29</v>
      </c>
      <c r="H22" s="97"/>
      <c r="I22" s="97"/>
      <c r="J22" s="97"/>
      <c r="K22" s="96" t="s">
        <v>29</v>
      </c>
      <c r="L22" s="97"/>
      <c r="M22" s="97"/>
      <c r="N22" s="97"/>
      <c r="O22" s="97"/>
      <c r="P22" s="97"/>
      <c r="Q22" s="97"/>
      <c r="R22" s="97"/>
    </row>
    <row r="23" ht="15.75" customHeight="1" outlineLevel="2">
      <c r="A23" s="94" t="str">
        <f t="shared" si="2"/>
        <v>TC_013</v>
      </c>
      <c r="B23" s="94" t="s">
        <v>129</v>
      </c>
      <c r="C23" s="94" t="s">
        <v>89</v>
      </c>
      <c r="D23" s="94" t="s">
        <v>130</v>
      </c>
      <c r="E23" s="94" t="s">
        <v>131</v>
      </c>
      <c r="F23" s="94"/>
      <c r="G23" s="96" t="s">
        <v>29</v>
      </c>
      <c r="H23" s="97"/>
      <c r="I23" s="97"/>
      <c r="J23" s="97"/>
      <c r="K23" s="96" t="s">
        <v>29</v>
      </c>
      <c r="L23" s="97"/>
      <c r="M23" s="97"/>
      <c r="N23" s="97"/>
      <c r="O23" s="97"/>
      <c r="P23" s="97"/>
      <c r="Q23" s="97"/>
      <c r="R23" s="97"/>
    </row>
    <row r="24" ht="15.75" customHeight="1" outlineLevel="2">
      <c r="A24" s="94" t="str">
        <f t="shared" si="2"/>
        <v>TC_014</v>
      </c>
      <c r="B24" s="94" t="s">
        <v>132</v>
      </c>
      <c r="C24" s="94" t="s">
        <v>89</v>
      </c>
      <c r="D24" s="94" t="s">
        <v>133</v>
      </c>
      <c r="E24" s="94" t="s">
        <v>134</v>
      </c>
      <c r="F24" s="94" t="s">
        <v>135</v>
      </c>
      <c r="G24" s="96" t="s">
        <v>29</v>
      </c>
      <c r="H24" s="97"/>
      <c r="I24" s="97"/>
      <c r="J24" s="97"/>
      <c r="K24" s="96" t="s">
        <v>29</v>
      </c>
      <c r="L24" s="97"/>
      <c r="M24" s="97"/>
      <c r="N24" s="97"/>
      <c r="O24" s="97"/>
      <c r="P24" s="97"/>
      <c r="Q24" s="97"/>
      <c r="R24" s="97"/>
    </row>
    <row r="25" ht="15.75" customHeight="1" outlineLevel="2">
      <c r="A25" s="94" t="str">
        <f t="shared" si="2"/>
        <v>TC_015</v>
      </c>
      <c r="B25" s="94" t="s">
        <v>136</v>
      </c>
      <c r="C25" s="94" t="s">
        <v>89</v>
      </c>
      <c r="D25" s="94" t="s">
        <v>137</v>
      </c>
      <c r="E25" s="94" t="s">
        <v>138</v>
      </c>
      <c r="F25" s="94" t="s">
        <v>139</v>
      </c>
      <c r="G25" s="96" t="s">
        <v>29</v>
      </c>
      <c r="H25" s="97"/>
      <c r="I25" s="97"/>
      <c r="J25" s="97"/>
      <c r="K25" s="96" t="s">
        <v>29</v>
      </c>
      <c r="L25" s="97"/>
      <c r="M25" s="97"/>
      <c r="N25" s="97"/>
      <c r="O25" s="97"/>
      <c r="P25" s="97"/>
      <c r="Q25" s="97"/>
      <c r="R25" s="97"/>
    </row>
    <row r="26" ht="15.75" customHeight="1" outlineLevel="2">
      <c r="A26" s="94" t="str">
        <f t="shared" si="2"/>
        <v>TC_016</v>
      </c>
      <c r="B26" s="94" t="s">
        <v>140</v>
      </c>
      <c r="C26" s="94" t="s">
        <v>141</v>
      </c>
      <c r="D26" s="94" t="s">
        <v>142</v>
      </c>
      <c r="E26" s="94" t="s">
        <v>143</v>
      </c>
      <c r="F26" s="94"/>
      <c r="G26" s="96" t="s">
        <v>29</v>
      </c>
      <c r="H26" s="97"/>
      <c r="I26" s="97"/>
      <c r="J26" s="97"/>
      <c r="K26" s="96" t="s">
        <v>29</v>
      </c>
      <c r="L26" s="97"/>
      <c r="M26" s="97"/>
      <c r="N26" s="97"/>
      <c r="O26" s="97"/>
      <c r="P26" s="97"/>
      <c r="Q26" s="97"/>
      <c r="R26" s="97"/>
    </row>
    <row r="27" ht="15.75" customHeight="1" outlineLevel="2">
      <c r="A27" s="94" t="str">
        <f t="shared" si="2"/>
        <v>TC_017</v>
      </c>
      <c r="B27" s="94" t="s">
        <v>144</v>
      </c>
      <c r="C27" s="94" t="s">
        <v>89</v>
      </c>
      <c r="D27" s="94" t="s">
        <v>145</v>
      </c>
      <c r="E27" s="94" t="s">
        <v>146</v>
      </c>
      <c r="F27" s="94"/>
      <c r="G27" s="96" t="s">
        <v>29</v>
      </c>
      <c r="H27" s="97"/>
      <c r="I27" s="97"/>
      <c r="J27" s="97"/>
      <c r="K27" s="96" t="s">
        <v>29</v>
      </c>
      <c r="L27" s="97"/>
      <c r="M27" s="97"/>
      <c r="N27" s="97"/>
      <c r="O27" s="97"/>
      <c r="P27" s="97"/>
      <c r="Q27" s="97"/>
      <c r="R27" s="97"/>
    </row>
    <row r="28" ht="15.75" customHeight="1" outlineLevel="2">
      <c r="A28" s="94" t="str">
        <f t="shared" si="2"/>
        <v>TC_018</v>
      </c>
      <c r="B28" s="94" t="s">
        <v>147</v>
      </c>
      <c r="C28" s="94" t="s">
        <v>148</v>
      </c>
      <c r="D28" s="94" t="s">
        <v>149</v>
      </c>
      <c r="E28" s="94" t="s">
        <v>150</v>
      </c>
      <c r="F28" s="94"/>
      <c r="G28" s="96" t="s">
        <v>29</v>
      </c>
      <c r="H28" s="97"/>
      <c r="I28" s="97"/>
      <c r="J28" s="97"/>
      <c r="K28" s="96" t="s">
        <v>29</v>
      </c>
      <c r="L28" s="97"/>
      <c r="M28" s="97"/>
      <c r="N28" s="97"/>
      <c r="O28" s="97"/>
      <c r="P28" s="97"/>
      <c r="Q28" s="97"/>
      <c r="R28" s="97"/>
    </row>
    <row r="29" ht="15.75" customHeight="1" outlineLevel="2">
      <c r="A29" s="94" t="str">
        <f t="shared" si="2"/>
        <v>TC_019</v>
      </c>
      <c r="B29" s="94" t="s">
        <v>151</v>
      </c>
      <c r="C29" s="94" t="s">
        <v>152</v>
      </c>
      <c r="D29" s="94" t="s">
        <v>153</v>
      </c>
      <c r="E29" s="94" t="s">
        <v>154</v>
      </c>
      <c r="F29" s="94"/>
      <c r="G29" s="96" t="s">
        <v>29</v>
      </c>
      <c r="H29" s="97"/>
      <c r="I29" s="97"/>
      <c r="J29" s="97"/>
      <c r="K29" s="96" t="s">
        <v>29</v>
      </c>
      <c r="L29" s="97"/>
      <c r="M29" s="97"/>
      <c r="N29" s="97"/>
      <c r="O29" s="97"/>
      <c r="P29" s="97"/>
      <c r="Q29" s="97"/>
      <c r="R29" s="97"/>
    </row>
    <row r="30" ht="15.75" customHeight="1" outlineLevel="2">
      <c r="A30" s="94" t="str">
        <f t="shared" si="2"/>
        <v>TC_020</v>
      </c>
      <c r="B30" s="94" t="s">
        <v>155</v>
      </c>
      <c r="C30" s="94" t="s">
        <v>156</v>
      </c>
      <c r="D30" s="94" t="s">
        <v>157</v>
      </c>
      <c r="E30" s="94" t="s">
        <v>158</v>
      </c>
      <c r="F30" s="94"/>
      <c r="G30" s="96" t="s">
        <v>29</v>
      </c>
      <c r="H30" s="97"/>
      <c r="I30" s="97"/>
      <c r="J30" s="97"/>
      <c r="K30" s="96" t="s">
        <v>29</v>
      </c>
      <c r="L30" s="97"/>
      <c r="M30" s="97"/>
      <c r="N30" s="97"/>
      <c r="O30" s="97"/>
      <c r="P30" s="97"/>
      <c r="Q30" s="97"/>
      <c r="R30" s="97"/>
    </row>
    <row r="31" ht="15.75" customHeight="1" outlineLevel="2">
      <c r="A31" s="94" t="str">
        <f t="shared" si="2"/>
        <v>TC_021</v>
      </c>
      <c r="B31" s="94" t="s">
        <v>159</v>
      </c>
      <c r="C31" s="94" t="s">
        <v>160</v>
      </c>
      <c r="D31" s="94" t="s">
        <v>161</v>
      </c>
      <c r="E31" s="94" t="s">
        <v>162</v>
      </c>
      <c r="F31" s="94" t="s">
        <v>163</v>
      </c>
      <c r="G31" s="96" t="s">
        <v>29</v>
      </c>
      <c r="H31" s="97"/>
      <c r="I31" s="97"/>
      <c r="J31" s="97"/>
      <c r="K31" s="96" t="s">
        <v>29</v>
      </c>
      <c r="L31" s="97"/>
      <c r="M31" s="97"/>
      <c r="N31" s="97"/>
      <c r="O31" s="97"/>
      <c r="P31" s="97"/>
      <c r="Q31" s="97"/>
      <c r="R31" s="97"/>
    </row>
    <row r="32" ht="15.75" customHeight="1" outlineLevel="2">
      <c r="A32" s="94" t="str">
        <f t="shared" si="2"/>
        <v>TC_022</v>
      </c>
      <c r="B32" s="94" t="s">
        <v>164</v>
      </c>
      <c r="C32" s="94" t="s">
        <v>165</v>
      </c>
      <c r="D32" s="94" t="s">
        <v>161</v>
      </c>
      <c r="E32" s="94" t="s">
        <v>166</v>
      </c>
      <c r="F32" s="94"/>
      <c r="G32" s="96" t="s">
        <v>29</v>
      </c>
      <c r="H32" s="97"/>
      <c r="I32" s="97"/>
      <c r="J32" s="97"/>
      <c r="K32" s="96" t="s">
        <v>29</v>
      </c>
      <c r="L32" s="97"/>
      <c r="M32" s="97"/>
      <c r="N32" s="97"/>
      <c r="O32" s="97"/>
      <c r="P32" s="97"/>
      <c r="Q32" s="97"/>
      <c r="R32" s="97"/>
    </row>
    <row r="33" ht="15.75" customHeight="1" outlineLevel="2">
      <c r="A33" s="94" t="str">
        <f t="shared" si="2"/>
        <v>TC_023</v>
      </c>
      <c r="B33" s="94" t="s">
        <v>167</v>
      </c>
      <c r="C33" s="94" t="s">
        <v>168</v>
      </c>
      <c r="D33" s="94" t="s">
        <v>169</v>
      </c>
      <c r="E33" s="94" t="s">
        <v>170</v>
      </c>
      <c r="F33" s="94" t="s">
        <v>171</v>
      </c>
      <c r="G33" s="96" t="s">
        <v>29</v>
      </c>
      <c r="H33" s="97"/>
      <c r="I33" s="97"/>
      <c r="J33" s="97"/>
      <c r="K33" s="96" t="s">
        <v>29</v>
      </c>
      <c r="L33" s="97"/>
      <c r="M33" s="97"/>
      <c r="N33" s="97"/>
      <c r="O33" s="97"/>
      <c r="P33" s="97"/>
      <c r="Q33" s="97"/>
      <c r="R33" s="97"/>
    </row>
    <row r="34" ht="15.75" customHeight="1" outlineLevel="2">
      <c r="A34" s="94" t="str">
        <f t="shared" si="2"/>
        <v>TC_024</v>
      </c>
      <c r="B34" s="94" t="s">
        <v>172</v>
      </c>
      <c r="C34" s="94" t="s">
        <v>89</v>
      </c>
      <c r="D34" s="94" t="s">
        <v>173</v>
      </c>
      <c r="E34" s="94" t="s">
        <v>174</v>
      </c>
      <c r="F34" s="94"/>
      <c r="G34" s="96" t="s">
        <v>29</v>
      </c>
      <c r="H34" s="97"/>
      <c r="I34" s="97"/>
      <c r="J34" s="97"/>
      <c r="K34" s="96" t="s">
        <v>29</v>
      </c>
      <c r="L34" s="97"/>
      <c r="M34" s="97"/>
      <c r="N34" s="97"/>
      <c r="O34" s="97"/>
      <c r="P34" s="97"/>
      <c r="Q34" s="97"/>
      <c r="R34" s="97"/>
    </row>
    <row r="35" ht="15.75" customHeight="1" outlineLevel="2">
      <c r="A35" s="94" t="str">
        <f t="shared" si="2"/>
        <v>TC_025</v>
      </c>
      <c r="B35" s="95" t="s">
        <v>175</v>
      </c>
      <c r="C35" s="94" t="s">
        <v>89</v>
      </c>
      <c r="D35" s="94" t="s">
        <v>176</v>
      </c>
      <c r="E35" s="94" t="s">
        <v>174</v>
      </c>
      <c r="F35" s="94"/>
      <c r="G35" s="96" t="s">
        <v>29</v>
      </c>
      <c r="H35" s="97"/>
      <c r="I35" s="97"/>
      <c r="J35" s="97"/>
      <c r="K35" s="96" t="s">
        <v>29</v>
      </c>
      <c r="L35" s="97"/>
      <c r="M35" s="97"/>
      <c r="N35" s="97"/>
      <c r="O35" s="97"/>
      <c r="P35" s="97"/>
      <c r="Q35" s="97"/>
      <c r="R35" s="97"/>
    </row>
    <row r="36" ht="15.75" customHeight="1" outlineLevel="2">
      <c r="A36" s="94" t="str">
        <f t="shared" si="2"/>
        <v>TC_026</v>
      </c>
      <c r="B36" s="94" t="s">
        <v>177</v>
      </c>
      <c r="C36" s="94" t="s">
        <v>89</v>
      </c>
      <c r="D36" s="94" t="s">
        <v>178</v>
      </c>
      <c r="E36" s="94" t="s">
        <v>179</v>
      </c>
      <c r="F36" s="94" t="s">
        <v>180</v>
      </c>
      <c r="G36" s="96" t="s">
        <v>29</v>
      </c>
      <c r="H36" s="97"/>
      <c r="I36" s="97"/>
      <c r="J36" s="97"/>
      <c r="K36" s="96" t="s">
        <v>29</v>
      </c>
      <c r="L36" s="97"/>
      <c r="M36" s="97"/>
      <c r="N36" s="97"/>
      <c r="O36" s="97"/>
      <c r="P36" s="97"/>
      <c r="Q36" s="97"/>
      <c r="R36" s="97"/>
    </row>
    <row r="37" ht="15.75" customHeight="1" outlineLevel="2">
      <c r="A37" s="94" t="str">
        <f t="shared" si="2"/>
        <v>TC_027</v>
      </c>
      <c r="B37" s="94" t="s">
        <v>181</v>
      </c>
      <c r="C37" s="94" t="s">
        <v>182</v>
      </c>
      <c r="D37" s="94" t="s">
        <v>183</v>
      </c>
      <c r="E37" s="94" t="s">
        <v>184</v>
      </c>
      <c r="F37" s="94"/>
      <c r="G37" s="96" t="s">
        <v>29</v>
      </c>
      <c r="H37" s="97"/>
      <c r="I37" s="97"/>
      <c r="J37" s="97"/>
      <c r="K37" s="96" t="s">
        <v>29</v>
      </c>
      <c r="L37" s="97"/>
      <c r="M37" s="97"/>
      <c r="N37" s="97"/>
      <c r="O37" s="97"/>
      <c r="P37" s="97"/>
      <c r="Q37" s="97"/>
      <c r="R37" s="97"/>
    </row>
    <row r="38" ht="15.75" customHeight="1" outlineLevel="2">
      <c r="A38" s="94" t="str">
        <f t="shared" si="2"/>
        <v>TC_028</v>
      </c>
      <c r="B38" s="94" t="s">
        <v>185</v>
      </c>
      <c r="C38" s="94" t="s">
        <v>186</v>
      </c>
      <c r="D38" s="94" t="s">
        <v>187</v>
      </c>
      <c r="E38" s="94" t="s">
        <v>188</v>
      </c>
      <c r="F38" s="94" t="s">
        <v>128</v>
      </c>
      <c r="G38" s="96" t="s">
        <v>29</v>
      </c>
      <c r="H38" s="97"/>
      <c r="I38" s="97"/>
      <c r="J38" s="97"/>
      <c r="K38" s="96" t="s">
        <v>29</v>
      </c>
      <c r="L38" s="97"/>
      <c r="M38" s="97"/>
      <c r="N38" s="97"/>
      <c r="O38" s="97"/>
      <c r="P38" s="97"/>
      <c r="Q38" s="97"/>
      <c r="R38" s="97"/>
    </row>
    <row r="39" ht="15.75" customHeight="1" outlineLevel="2">
      <c r="A39" s="94" t="str">
        <f t="shared" si="2"/>
        <v>TC_029</v>
      </c>
      <c r="B39" s="94" t="s">
        <v>189</v>
      </c>
      <c r="C39" s="94" t="s">
        <v>89</v>
      </c>
      <c r="D39" s="94" t="s">
        <v>190</v>
      </c>
      <c r="E39" s="94" t="s">
        <v>191</v>
      </c>
      <c r="F39" s="94"/>
      <c r="G39" s="96" t="s">
        <v>29</v>
      </c>
      <c r="H39" s="97"/>
      <c r="I39" s="97"/>
      <c r="J39" s="97"/>
      <c r="K39" s="96" t="s">
        <v>29</v>
      </c>
      <c r="L39" s="97"/>
      <c r="M39" s="97"/>
      <c r="N39" s="97"/>
      <c r="O39" s="97"/>
      <c r="P39" s="97"/>
      <c r="Q39" s="97"/>
      <c r="R39" s="97"/>
    </row>
    <row r="40" ht="15.75" customHeight="1" outlineLevel="2">
      <c r="A40" s="94" t="str">
        <f t="shared" si="2"/>
        <v>TC_030</v>
      </c>
      <c r="B40" s="94" t="s">
        <v>192</v>
      </c>
      <c r="C40" s="94" t="s">
        <v>193</v>
      </c>
      <c r="D40" s="94" t="s">
        <v>194</v>
      </c>
      <c r="E40" s="94" t="s">
        <v>195</v>
      </c>
      <c r="F40" s="94" t="s">
        <v>196</v>
      </c>
      <c r="G40" s="96" t="s">
        <v>29</v>
      </c>
      <c r="H40" s="97"/>
      <c r="I40" s="97"/>
      <c r="J40" s="97"/>
      <c r="K40" s="96" t="s">
        <v>29</v>
      </c>
      <c r="L40" s="97"/>
      <c r="M40" s="97"/>
      <c r="N40" s="97"/>
      <c r="O40" s="97"/>
      <c r="P40" s="97"/>
      <c r="Q40" s="97"/>
      <c r="R40" s="97"/>
    </row>
    <row r="41" ht="15.75" customHeight="1" outlineLevel="1">
      <c r="A41" s="92"/>
      <c r="B41" s="93" t="s">
        <v>197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73"/>
    </row>
    <row r="42" ht="15.75" customHeight="1" outlineLevel="2">
      <c r="A42" s="98"/>
      <c r="B42" s="99" t="s">
        <v>198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73"/>
    </row>
    <row r="43" ht="15.75" customHeight="1" outlineLevel="3">
      <c r="A43" s="94" t="str">
        <f t="shared" ref="A43:A50" si="3">"TC_" &amp; TEXT(ROW()-12,"000")</f>
        <v>TC_031</v>
      </c>
      <c r="B43" s="94" t="s">
        <v>199</v>
      </c>
      <c r="C43" s="94" t="s">
        <v>89</v>
      </c>
      <c r="D43" s="94" t="s">
        <v>200</v>
      </c>
      <c r="E43" s="94" t="s">
        <v>201</v>
      </c>
      <c r="F43" s="94"/>
      <c r="G43" s="96" t="s">
        <v>29</v>
      </c>
      <c r="H43" s="97"/>
      <c r="I43" s="97"/>
      <c r="J43" s="97"/>
      <c r="K43" s="96" t="s">
        <v>29</v>
      </c>
      <c r="L43" s="97"/>
      <c r="M43" s="97"/>
      <c r="N43" s="97"/>
      <c r="O43" s="97"/>
      <c r="P43" s="97"/>
      <c r="Q43" s="97"/>
      <c r="R43" s="97"/>
    </row>
    <row r="44" ht="15.75" customHeight="1" outlineLevel="3">
      <c r="A44" s="94" t="str">
        <f t="shared" si="3"/>
        <v>TC_032</v>
      </c>
      <c r="B44" s="94" t="s">
        <v>202</v>
      </c>
      <c r="C44" s="94" t="s">
        <v>89</v>
      </c>
      <c r="D44" s="94" t="s">
        <v>203</v>
      </c>
      <c r="E44" s="94" t="s">
        <v>204</v>
      </c>
      <c r="F44" s="94"/>
      <c r="G44" s="96" t="s">
        <v>29</v>
      </c>
      <c r="H44" s="97"/>
      <c r="I44" s="97"/>
      <c r="J44" s="97"/>
      <c r="K44" s="96" t="s">
        <v>29</v>
      </c>
      <c r="L44" s="97"/>
      <c r="M44" s="97"/>
      <c r="N44" s="97"/>
      <c r="O44" s="97"/>
      <c r="P44" s="97"/>
      <c r="Q44" s="97"/>
      <c r="R44" s="97"/>
    </row>
    <row r="45" ht="15.75" customHeight="1" outlineLevel="3">
      <c r="A45" s="94" t="str">
        <f t="shared" si="3"/>
        <v>TC_033</v>
      </c>
      <c r="B45" s="94" t="s">
        <v>205</v>
      </c>
      <c r="C45" s="94" t="s">
        <v>89</v>
      </c>
      <c r="D45" s="94" t="s">
        <v>206</v>
      </c>
      <c r="E45" s="94" t="s">
        <v>207</v>
      </c>
      <c r="F45" s="94"/>
      <c r="G45" s="96" t="s">
        <v>29</v>
      </c>
      <c r="H45" s="97"/>
      <c r="I45" s="97"/>
      <c r="J45" s="97"/>
      <c r="K45" s="96" t="s">
        <v>29</v>
      </c>
      <c r="L45" s="97"/>
      <c r="M45" s="97"/>
      <c r="N45" s="97"/>
      <c r="O45" s="97"/>
      <c r="P45" s="97"/>
      <c r="Q45" s="97"/>
      <c r="R45" s="97"/>
    </row>
    <row r="46" ht="15.75" customHeight="1" outlineLevel="3">
      <c r="A46" s="94" t="str">
        <f t="shared" si="3"/>
        <v>TC_034</v>
      </c>
      <c r="B46" s="94" t="s">
        <v>208</v>
      </c>
      <c r="C46" s="94" t="s">
        <v>89</v>
      </c>
      <c r="D46" s="94" t="s">
        <v>209</v>
      </c>
      <c r="E46" s="94" t="s">
        <v>210</v>
      </c>
      <c r="F46" s="94"/>
      <c r="G46" s="96" t="s">
        <v>29</v>
      </c>
      <c r="H46" s="97"/>
      <c r="I46" s="97"/>
      <c r="J46" s="97"/>
      <c r="K46" s="96" t="s">
        <v>29</v>
      </c>
      <c r="L46" s="97"/>
      <c r="M46" s="97"/>
      <c r="N46" s="97"/>
      <c r="O46" s="97"/>
      <c r="P46" s="97"/>
      <c r="Q46" s="97"/>
      <c r="R46" s="97"/>
    </row>
    <row r="47" ht="15.75" customHeight="1" outlineLevel="3">
      <c r="A47" s="94" t="str">
        <f t="shared" si="3"/>
        <v>TC_035</v>
      </c>
      <c r="B47" s="94" t="s">
        <v>211</v>
      </c>
      <c r="C47" s="94" t="s">
        <v>89</v>
      </c>
      <c r="D47" s="94" t="s">
        <v>212</v>
      </c>
      <c r="E47" s="94" t="s">
        <v>213</v>
      </c>
      <c r="F47" s="94"/>
      <c r="G47" s="96" t="s">
        <v>29</v>
      </c>
      <c r="H47" s="97"/>
      <c r="I47" s="97"/>
      <c r="J47" s="97"/>
      <c r="K47" s="96" t="s">
        <v>29</v>
      </c>
      <c r="L47" s="97"/>
      <c r="M47" s="97"/>
      <c r="N47" s="97"/>
      <c r="O47" s="97"/>
      <c r="P47" s="97"/>
      <c r="Q47" s="97"/>
      <c r="R47" s="97"/>
    </row>
    <row r="48" ht="15.75" customHeight="1" outlineLevel="3">
      <c r="A48" s="94" t="str">
        <f t="shared" si="3"/>
        <v>TC_036</v>
      </c>
      <c r="B48" s="94" t="s">
        <v>214</v>
      </c>
      <c r="C48" s="94" t="s">
        <v>89</v>
      </c>
      <c r="D48" s="94" t="s">
        <v>215</v>
      </c>
      <c r="E48" s="94" t="s">
        <v>216</v>
      </c>
      <c r="F48" s="94"/>
      <c r="G48" s="96" t="s">
        <v>29</v>
      </c>
      <c r="H48" s="97"/>
      <c r="I48" s="97"/>
      <c r="J48" s="97"/>
      <c r="K48" s="96" t="s">
        <v>29</v>
      </c>
      <c r="L48" s="97"/>
      <c r="M48" s="97"/>
      <c r="N48" s="97"/>
      <c r="O48" s="97"/>
      <c r="P48" s="97"/>
      <c r="Q48" s="97"/>
      <c r="R48" s="97"/>
    </row>
    <row r="49" ht="15.75" customHeight="1" outlineLevel="3">
      <c r="A49" s="94" t="str">
        <f t="shared" si="3"/>
        <v>TC_037</v>
      </c>
      <c r="B49" s="94" t="s">
        <v>217</v>
      </c>
      <c r="C49" s="94" t="s">
        <v>89</v>
      </c>
      <c r="D49" s="94" t="s">
        <v>218</v>
      </c>
      <c r="E49" s="94" t="s">
        <v>219</v>
      </c>
      <c r="F49" s="94"/>
      <c r="G49" s="96" t="s">
        <v>29</v>
      </c>
      <c r="H49" s="97"/>
      <c r="I49" s="97"/>
      <c r="J49" s="97"/>
      <c r="K49" s="96" t="s">
        <v>29</v>
      </c>
      <c r="L49" s="97"/>
      <c r="M49" s="97"/>
      <c r="N49" s="97"/>
      <c r="O49" s="97"/>
      <c r="P49" s="97"/>
      <c r="Q49" s="97"/>
      <c r="R49" s="97"/>
    </row>
    <row r="50" ht="15.75" customHeight="1" outlineLevel="3">
      <c r="A50" s="94" t="str">
        <f t="shared" si="3"/>
        <v>TC_038</v>
      </c>
      <c r="B50" s="94" t="s">
        <v>220</v>
      </c>
      <c r="C50" s="94" t="s">
        <v>89</v>
      </c>
      <c r="D50" s="94" t="s">
        <v>221</v>
      </c>
      <c r="E50" s="94" t="s">
        <v>219</v>
      </c>
      <c r="F50" s="94"/>
      <c r="G50" s="96" t="s">
        <v>29</v>
      </c>
      <c r="H50" s="97"/>
      <c r="I50" s="97"/>
      <c r="J50" s="97"/>
      <c r="K50" s="96" t="s">
        <v>29</v>
      </c>
      <c r="L50" s="97"/>
      <c r="M50" s="97"/>
      <c r="N50" s="97"/>
      <c r="O50" s="97"/>
      <c r="P50" s="97"/>
      <c r="Q50" s="97"/>
      <c r="R50" s="97"/>
    </row>
    <row r="51" ht="15.75" customHeight="1" outlineLevel="2">
      <c r="A51" s="98"/>
      <c r="B51" s="99" t="s">
        <v>222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73"/>
    </row>
    <row r="52" ht="15.75" customHeight="1" outlineLevel="3">
      <c r="A52" s="94" t="str">
        <f t="shared" ref="A52:A59" si="4">"TC_" &amp; TEXT(ROW()-13,"000")</f>
        <v>TC_039</v>
      </c>
      <c r="B52" s="94" t="s">
        <v>223</v>
      </c>
      <c r="C52" s="94" t="s">
        <v>89</v>
      </c>
      <c r="D52" s="94" t="s">
        <v>224</v>
      </c>
      <c r="E52" s="94" t="s">
        <v>225</v>
      </c>
      <c r="F52" s="94"/>
      <c r="G52" s="96" t="s">
        <v>29</v>
      </c>
      <c r="H52" s="97"/>
      <c r="I52" s="97"/>
      <c r="J52" s="97"/>
      <c r="K52" s="96" t="s">
        <v>29</v>
      </c>
      <c r="L52" s="97"/>
      <c r="M52" s="97"/>
      <c r="N52" s="97"/>
      <c r="O52" s="97"/>
      <c r="P52" s="97"/>
      <c r="Q52" s="97"/>
      <c r="R52" s="97"/>
    </row>
    <row r="53" ht="15.75" customHeight="1" outlineLevel="3">
      <c r="A53" s="94" t="str">
        <f t="shared" si="4"/>
        <v>TC_040</v>
      </c>
      <c r="B53" s="94" t="s">
        <v>226</v>
      </c>
      <c r="C53" s="94" t="s">
        <v>89</v>
      </c>
      <c r="D53" s="94" t="s">
        <v>227</v>
      </c>
      <c r="E53" s="94" t="s">
        <v>225</v>
      </c>
      <c r="F53" s="94"/>
      <c r="G53" s="96" t="s">
        <v>29</v>
      </c>
      <c r="H53" s="97"/>
      <c r="I53" s="97"/>
      <c r="J53" s="97"/>
      <c r="K53" s="96" t="s">
        <v>29</v>
      </c>
      <c r="L53" s="97"/>
      <c r="M53" s="97"/>
      <c r="N53" s="97"/>
      <c r="O53" s="97"/>
      <c r="P53" s="97"/>
      <c r="Q53" s="97"/>
      <c r="R53" s="97"/>
    </row>
    <row r="54" ht="15.75" customHeight="1" outlineLevel="3">
      <c r="A54" s="94" t="str">
        <f t="shared" si="4"/>
        <v>TC_041</v>
      </c>
      <c r="B54" s="94" t="s">
        <v>228</v>
      </c>
      <c r="C54" s="94" t="s">
        <v>89</v>
      </c>
      <c r="D54" s="94" t="s">
        <v>229</v>
      </c>
      <c r="E54" s="94" t="s">
        <v>230</v>
      </c>
      <c r="F54" s="94"/>
      <c r="G54" s="96" t="s">
        <v>29</v>
      </c>
      <c r="H54" s="97"/>
      <c r="I54" s="97"/>
      <c r="J54" s="97"/>
      <c r="K54" s="96" t="s">
        <v>29</v>
      </c>
      <c r="L54" s="97"/>
      <c r="M54" s="97"/>
      <c r="N54" s="97"/>
      <c r="O54" s="97"/>
      <c r="P54" s="97"/>
      <c r="Q54" s="97"/>
      <c r="R54" s="97"/>
    </row>
    <row r="55" ht="15.75" customHeight="1" outlineLevel="3">
      <c r="A55" s="94" t="str">
        <f t="shared" si="4"/>
        <v>TC_042</v>
      </c>
      <c r="B55" s="94" t="s">
        <v>231</v>
      </c>
      <c r="C55" s="94" t="s">
        <v>89</v>
      </c>
      <c r="D55" s="94" t="s">
        <v>232</v>
      </c>
      <c r="E55" s="94" t="s">
        <v>233</v>
      </c>
      <c r="F55" s="94"/>
      <c r="G55" s="96" t="s">
        <v>29</v>
      </c>
      <c r="H55" s="97"/>
      <c r="I55" s="97"/>
      <c r="J55" s="97"/>
      <c r="K55" s="96" t="s">
        <v>29</v>
      </c>
      <c r="L55" s="97"/>
      <c r="M55" s="97"/>
      <c r="N55" s="97"/>
      <c r="O55" s="97"/>
      <c r="P55" s="97"/>
      <c r="Q55" s="97"/>
      <c r="R55" s="97"/>
    </row>
    <row r="56" ht="15.75" customHeight="1" outlineLevel="3">
      <c r="A56" s="94" t="str">
        <f t="shared" si="4"/>
        <v>TC_043</v>
      </c>
      <c r="B56" s="94" t="s">
        <v>234</v>
      </c>
      <c r="C56" s="94" t="s">
        <v>89</v>
      </c>
      <c r="D56" s="94" t="s">
        <v>235</v>
      </c>
      <c r="E56" s="94" t="s">
        <v>236</v>
      </c>
      <c r="F56" s="94"/>
      <c r="G56" s="96" t="s">
        <v>29</v>
      </c>
      <c r="H56" s="97"/>
      <c r="I56" s="97"/>
      <c r="J56" s="97"/>
      <c r="K56" s="96" t="s">
        <v>29</v>
      </c>
      <c r="L56" s="97"/>
      <c r="M56" s="97"/>
      <c r="N56" s="97"/>
      <c r="O56" s="97"/>
      <c r="P56" s="97"/>
      <c r="Q56" s="97"/>
      <c r="R56" s="97"/>
    </row>
    <row r="57" ht="15.75" customHeight="1" outlineLevel="3">
      <c r="A57" s="94" t="str">
        <f t="shared" si="4"/>
        <v>TC_044</v>
      </c>
      <c r="B57" s="94" t="s">
        <v>237</v>
      </c>
      <c r="C57" s="94" t="s">
        <v>89</v>
      </c>
      <c r="D57" s="94" t="s">
        <v>238</v>
      </c>
      <c r="E57" s="94" t="s">
        <v>239</v>
      </c>
      <c r="F57" s="94"/>
      <c r="G57" s="96" t="s">
        <v>29</v>
      </c>
      <c r="H57" s="97"/>
      <c r="I57" s="97"/>
      <c r="J57" s="97"/>
      <c r="K57" s="96" t="s">
        <v>29</v>
      </c>
      <c r="L57" s="97"/>
      <c r="M57" s="97"/>
      <c r="N57" s="97"/>
      <c r="O57" s="97"/>
      <c r="P57" s="97"/>
      <c r="Q57" s="97"/>
      <c r="R57" s="97"/>
    </row>
    <row r="58" ht="15.75" customHeight="1" outlineLevel="3">
      <c r="A58" s="94" t="str">
        <f t="shared" si="4"/>
        <v>TC_045</v>
      </c>
      <c r="B58" s="94" t="s">
        <v>240</v>
      </c>
      <c r="C58" s="94" t="s">
        <v>160</v>
      </c>
      <c r="D58" s="94" t="s">
        <v>241</v>
      </c>
      <c r="E58" s="94" t="s">
        <v>242</v>
      </c>
      <c r="F58" s="94"/>
      <c r="G58" s="96" t="s">
        <v>29</v>
      </c>
      <c r="H58" s="97"/>
      <c r="I58" s="97"/>
      <c r="J58" s="97"/>
      <c r="K58" s="96" t="s">
        <v>29</v>
      </c>
      <c r="L58" s="97"/>
      <c r="M58" s="97"/>
      <c r="N58" s="97"/>
      <c r="O58" s="97"/>
      <c r="P58" s="97"/>
      <c r="Q58" s="97"/>
      <c r="R58" s="97"/>
    </row>
    <row r="59" ht="15.75" customHeight="1" outlineLevel="3">
      <c r="A59" s="94" t="str">
        <f t="shared" si="4"/>
        <v>TC_046</v>
      </c>
      <c r="B59" s="94" t="s">
        <v>243</v>
      </c>
      <c r="C59" s="94" t="s">
        <v>89</v>
      </c>
      <c r="D59" s="94" t="s">
        <v>244</v>
      </c>
      <c r="E59" s="94" t="s">
        <v>245</v>
      </c>
      <c r="F59" s="94"/>
      <c r="G59" s="96" t="s">
        <v>29</v>
      </c>
      <c r="H59" s="97"/>
      <c r="I59" s="97"/>
      <c r="J59" s="97"/>
      <c r="K59" s="96" t="s">
        <v>29</v>
      </c>
      <c r="L59" s="97"/>
      <c r="M59" s="97"/>
      <c r="N59" s="97"/>
      <c r="O59" s="97"/>
      <c r="P59" s="97"/>
      <c r="Q59" s="97"/>
      <c r="R59" s="97"/>
    </row>
    <row r="60" ht="15.75" customHeight="1">
      <c r="A60" s="90"/>
      <c r="B60" s="91" t="s">
        <v>246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73"/>
    </row>
    <row r="61" ht="15.75" customHeight="1">
      <c r="A61" s="92"/>
      <c r="B61" s="93" t="s">
        <v>83</v>
      </c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73"/>
    </row>
    <row r="62" ht="15.75" customHeight="1" outlineLevel="1">
      <c r="A62" s="94" t="str">
        <f>"TC_" &amp; TEXT(ROW()-15,"000")</f>
        <v>TC_047</v>
      </c>
      <c r="B62" s="94" t="s">
        <v>247</v>
      </c>
      <c r="C62" s="94" t="s">
        <v>248</v>
      </c>
      <c r="D62" s="94" t="s">
        <v>249</v>
      </c>
      <c r="E62" s="95" t="s">
        <v>250</v>
      </c>
      <c r="F62" s="94"/>
      <c r="G62" s="96" t="s">
        <v>29</v>
      </c>
      <c r="H62" s="97"/>
      <c r="I62" s="97"/>
      <c r="J62" s="97"/>
      <c r="K62" s="96" t="s">
        <v>29</v>
      </c>
      <c r="L62" s="97"/>
      <c r="M62" s="97"/>
      <c r="N62" s="97"/>
      <c r="O62" s="97"/>
      <c r="P62" s="97"/>
      <c r="Q62" s="97"/>
      <c r="R62" s="97"/>
    </row>
    <row r="63" ht="15.75" customHeight="1">
      <c r="A63" s="92"/>
      <c r="B63" s="93" t="s">
        <v>118</v>
      </c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73"/>
    </row>
    <row r="64" ht="15.75" customHeight="1" outlineLevel="1">
      <c r="A64" s="94" t="str">
        <f t="shared" ref="A64:A84" si="5">"TC_" &amp; TEXT(ROW()-16,"000")</f>
        <v>TC_048</v>
      </c>
      <c r="B64" s="94" t="s">
        <v>251</v>
      </c>
      <c r="C64" s="94" t="s">
        <v>252</v>
      </c>
      <c r="D64" s="94" t="s">
        <v>253</v>
      </c>
      <c r="E64" s="94" t="s">
        <v>254</v>
      </c>
      <c r="F64" s="94"/>
      <c r="G64" s="96" t="s">
        <v>29</v>
      </c>
      <c r="H64" s="97"/>
      <c r="I64" s="97"/>
      <c r="J64" s="97"/>
      <c r="K64" s="96" t="s">
        <v>29</v>
      </c>
      <c r="L64" s="97"/>
      <c r="M64" s="97"/>
      <c r="N64" s="97"/>
      <c r="O64" s="97"/>
      <c r="P64" s="97"/>
      <c r="Q64" s="97"/>
      <c r="R64" s="97"/>
    </row>
    <row r="65" ht="15.75" customHeight="1" outlineLevel="1">
      <c r="A65" s="94" t="str">
        <f t="shared" si="5"/>
        <v>TC_049</v>
      </c>
      <c r="B65" s="94" t="s">
        <v>255</v>
      </c>
      <c r="C65" s="94" t="s">
        <v>252</v>
      </c>
      <c r="D65" s="94" t="s">
        <v>256</v>
      </c>
      <c r="E65" s="94" t="s">
        <v>257</v>
      </c>
      <c r="F65" s="94"/>
      <c r="G65" s="96" t="s">
        <v>29</v>
      </c>
      <c r="H65" s="97"/>
      <c r="I65" s="97"/>
      <c r="J65" s="97"/>
      <c r="K65" s="96" t="s">
        <v>29</v>
      </c>
      <c r="L65" s="97"/>
      <c r="M65" s="97"/>
      <c r="N65" s="97"/>
      <c r="O65" s="97"/>
      <c r="P65" s="97"/>
      <c r="Q65" s="97"/>
      <c r="R65" s="97"/>
    </row>
    <row r="66" ht="15.75" customHeight="1" outlineLevel="1">
      <c r="A66" s="94" t="str">
        <f t="shared" si="5"/>
        <v>TC_050</v>
      </c>
      <c r="B66" s="94" t="s">
        <v>258</v>
      </c>
      <c r="C66" s="94" t="s">
        <v>252</v>
      </c>
      <c r="D66" s="94" t="s">
        <v>259</v>
      </c>
      <c r="E66" s="94" t="s">
        <v>260</v>
      </c>
      <c r="F66" s="94"/>
      <c r="G66" s="96" t="s">
        <v>29</v>
      </c>
      <c r="H66" s="97"/>
      <c r="I66" s="97"/>
      <c r="J66" s="97"/>
      <c r="K66" s="96" t="s">
        <v>29</v>
      </c>
      <c r="L66" s="97"/>
      <c r="M66" s="97"/>
      <c r="N66" s="97"/>
      <c r="O66" s="97"/>
      <c r="P66" s="97"/>
      <c r="Q66" s="97"/>
      <c r="R66" s="97"/>
    </row>
    <row r="67" ht="15.75" customHeight="1" outlineLevel="1">
      <c r="A67" s="94" t="str">
        <f t="shared" si="5"/>
        <v>TC_051</v>
      </c>
      <c r="B67" s="94" t="s">
        <v>261</v>
      </c>
      <c r="C67" s="94" t="s">
        <v>252</v>
      </c>
      <c r="D67" s="94" t="s">
        <v>262</v>
      </c>
      <c r="E67" s="94" t="s">
        <v>263</v>
      </c>
      <c r="F67" s="94" t="s">
        <v>264</v>
      </c>
      <c r="G67" s="96" t="s">
        <v>29</v>
      </c>
      <c r="H67" s="97"/>
      <c r="I67" s="97"/>
      <c r="J67" s="97"/>
      <c r="K67" s="96" t="s">
        <v>29</v>
      </c>
      <c r="L67" s="97"/>
      <c r="M67" s="97"/>
      <c r="N67" s="97"/>
      <c r="O67" s="97"/>
      <c r="P67" s="97"/>
      <c r="Q67" s="97"/>
      <c r="R67" s="97"/>
    </row>
    <row r="68" ht="15.75" customHeight="1" outlineLevel="1">
      <c r="A68" s="94" t="str">
        <f t="shared" si="5"/>
        <v>TC_052</v>
      </c>
      <c r="B68" s="94" t="s">
        <v>265</v>
      </c>
      <c r="C68" s="94" t="s">
        <v>252</v>
      </c>
      <c r="D68" s="94" t="s">
        <v>266</v>
      </c>
      <c r="E68" s="94" t="s">
        <v>267</v>
      </c>
      <c r="F68" s="94"/>
      <c r="G68" s="96" t="s">
        <v>29</v>
      </c>
      <c r="H68" s="97"/>
      <c r="I68" s="97"/>
      <c r="J68" s="97"/>
      <c r="K68" s="96" t="s">
        <v>29</v>
      </c>
      <c r="L68" s="97"/>
      <c r="M68" s="97"/>
      <c r="N68" s="97"/>
      <c r="O68" s="97"/>
      <c r="P68" s="97"/>
      <c r="Q68" s="97"/>
      <c r="R68" s="97"/>
    </row>
    <row r="69" ht="15.75" customHeight="1" outlineLevel="1">
      <c r="A69" s="94" t="str">
        <f t="shared" si="5"/>
        <v>TC_053</v>
      </c>
      <c r="B69" s="94" t="s">
        <v>268</v>
      </c>
      <c r="C69" s="94" t="s">
        <v>252</v>
      </c>
      <c r="D69" s="94" t="s">
        <v>269</v>
      </c>
      <c r="E69" s="94" t="s">
        <v>270</v>
      </c>
      <c r="F69" s="94"/>
      <c r="G69" s="96" t="s">
        <v>29</v>
      </c>
      <c r="H69" s="97"/>
      <c r="I69" s="97"/>
      <c r="J69" s="97"/>
      <c r="K69" s="96" t="s">
        <v>29</v>
      </c>
      <c r="L69" s="97"/>
      <c r="M69" s="97"/>
      <c r="N69" s="97"/>
      <c r="O69" s="97"/>
      <c r="P69" s="97"/>
      <c r="Q69" s="97"/>
      <c r="R69" s="97"/>
    </row>
    <row r="70" ht="15.75" customHeight="1" outlineLevel="1">
      <c r="A70" s="94" t="str">
        <f t="shared" si="5"/>
        <v>TC_054</v>
      </c>
      <c r="B70" s="94" t="s">
        <v>271</v>
      </c>
      <c r="C70" s="94" t="s">
        <v>252</v>
      </c>
      <c r="D70" s="94" t="s">
        <v>272</v>
      </c>
      <c r="E70" s="94" t="s">
        <v>273</v>
      </c>
      <c r="F70" s="94"/>
      <c r="G70" s="96" t="s">
        <v>29</v>
      </c>
      <c r="H70" s="97"/>
      <c r="I70" s="97"/>
      <c r="J70" s="97"/>
      <c r="K70" s="96" t="s">
        <v>29</v>
      </c>
      <c r="L70" s="97"/>
      <c r="M70" s="97"/>
      <c r="N70" s="97"/>
      <c r="O70" s="97"/>
      <c r="P70" s="97"/>
      <c r="Q70" s="97"/>
      <c r="R70" s="97"/>
    </row>
    <row r="71" ht="15.75" customHeight="1" outlineLevel="1">
      <c r="A71" s="94" t="str">
        <f t="shared" si="5"/>
        <v>TC_055</v>
      </c>
      <c r="B71" s="94" t="s">
        <v>274</v>
      </c>
      <c r="C71" s="94" t="s">
        <v>252</v>
      </c>
      <c r="D71" s="94" t="s">
        <v>275</v>
      </c>
      <c r="E71" s="94" t="s">
        <v>276</v>
      </c>
      <c r="F71" s="94"/>
      <c r="G71" s="96" t="s">
        <v>29</v>
      </c>
      <c r="H71" s="97"/>
      <c r="I71" s="97"/>
      <c r="J71" s="97"/>
      <c r="K71" s="96" t="s">
        <v>29</v>
      </c>
      <c r="L71" s="97"/>
      <c r="M71" s="97"/>
      <c r="N71" s="97"/>
      <c r="O71" s="97"/>
      <c r="P71" s="97"/>
      <c r="Q71" s="97"/>
      <c r="R71" s="97"/>
    </row>
    <row r="72" ht="15.75" customHeight="1" outlineLevel="1">
      <c r="A72" s="94" t="str">
        <f t="shared" si="5"/>
        <v>TC_056</v>
      </c>
      <c r="B72" s="94" t="s">
        <v>277</v>
      </c>
      <c r="C72" s="94" t="s">
        <v>252</v>
      </c>
      <c r="D72" s="94" t="s">
        <v>278</v>
      </c>
      <c r="E72" s="94" t="s">
        <v>279</v>
      </c>
      <c r="F72" s="94" t="s">
        <v>135</v>
      </c>
      <c r="G72" s="96" t="s">
        <v>29</v>
      </c>
      <c r="H72" s="97"/>
      <c r="I72" s="97"/>
      <c r="J72" s="97"/>
      <c r="K72" s="96" t="s">
        <v>29</v>
      </c>
      <c r="L72" s="97"/>
      <c r="M72" s="97"/>
      <c r="N72" s="97"/>
      <c r="O72" s="97"/>
      <c r="P72" s="97"/>
      <c r="Q72" s="97"/>
      <c r="R72" s="97"/>
    </row>
    <row r="73" ht="15.75" customHeight="1" outlineLevel="1">
      <c r="A73" s="94" t="str">
        <f t="shared" si="5"/>
        <v>TC_057</v>
      </c>
      <c r="B73" s="94" t="s">
        <v>280</v>
      </c>
      <c r="C73" s="94" t="s">
        <v>252</v>
      </c>
      <c r="D73" s="94" t="s">
        <v>281</v>
      </c>
      <c r="E73" s="94" t="s">
        <v>282</v>
      </c>
      <c r="F73" s="94" t="s">
        <v>139</v>
      </c>
      <c r="G73" s="96" t="s">
        <v>29</v>
      </c>
      <c r="H73" s="97"/>
      <c r="I73" s="97"/>
      <c r="J73" s="97"/>
      <c r="K73" s="96" t="s">
        <v>29</v>
      </c>
      <c r="L73" s="97"/>
      <c r="M73" s="97"/>
      <c r="N73" s="97"/>
      <c r="O73" s="97"/>
      <c r="P73" s="97"/>
      <c r="Q73" s="97"/>
      <c r="R73" s="97"/>
    </row>
    <row r="74" ht="15.75" customHeight="1" outlineLevel="1">
      <c r="A74" s="94" t="str">
        <f t="shared" si="5"/>
        <v>TC_058</v>
      </c>
      <c r="B74" s="94" t="s">
        <v>283</v>
      </c>
      <c r="C74" s="94" t="s">
        <v>252</v>
      </c>
      <c r="D74" s="94" t="s">
        <v>284</v>
      </c>
      <c r="E74" s="94" t="s">
        <v>285</v>
      </c>
      <c r="F74" s="94" t="s">
        <v>286</v>
      </c>
      <c r="G74" s="96" t="s">
        <v>29</v>
      </c>
      <c r="H74" s="97"/>
      <c r="I74" s="97"/>
      <c r="J74" s="97"/>
      <c r="K74" s="96" t="s">
        <v>29</v>
      </c>
      <c r="L74" s="97"/>
      <c r="M74" s="97"/>
      <c r="N74" s="97"/>
      <c r="O74" s="97"/>
      <c r="P74" s="97"/>
      <c r="Q74" s="97"/>
      <c r="R74" s="97"/>
    </row>
    <row r="75" ht="15.75" customHeight="1" outlineLevel="1">
      <c r="A75" s="94" t="str">
        <f t="shared" si="5"/>
        <v>TC_059</v>
      </c>
      <c r="B75" s="94" t="s">
        <v>287</v>
      </c>
      <c r="C75" s="94" t="s">
        <v>252</v>
      </c>
      <c r="D75" s="94" t="s">
        <v>288</v>
      </c>
      <c r="E75" s="94" t="s">
        <v>289</v>
      </c>
      <c r="F75" s="94" t="s">
        <v>286</v>
      </c>
      <c r="G75" s="96" t="s">
        <v>29</v>
      </c>
      <c r="H75" s="97"/>
      <c r="I75" s="97"/>
      <c r="J75" s="97"/>
      <c r="K75" s="96" t="s">
        <v>29</v>
      </c>
      <c r="L75" s="97"/>
      <c r="M75" s="97"/>
      <c r="N75" s="97"/>
      <c r="O75" s="97"/>
      <c r="P75" s="97"/>
      <c r="Q75" s="97"/>
      <c r="R75" s="97"/>
    </row>
    <row r="76" ht="15.75" customHeight="1" outlineLevel="1">
      <c r="A76" s="94" t="str">
        <f t="shared" si="5"/>
        <v>TC_060</v>
      </c>
      <c r="B76" s="94" t="s">
        <v>290</v>
      </c>
      <c r="C76" s="94" t="s">
        <v>252</v>
      </c>
      <c r="D76" s="94" t="s">
        <v>291</v>
      </c>
      <c r="E76" s="94" t="s">
        <v>292</v>
      </c>
      <c r="F76" s="94" t="s">
        <v>286</v>
      </c>
      <c r="G76" s="96" t="s">
        <v>29</v>
      </c>
      <c r="H76" s="97"/>
      <c r="I76" s="97"/>
      <c r="J76" s="97"/>
      <c r="K76" s="96" t="s">
        <v>29</v>
      </c>
      <c r="L76" s="97"/>
      <c r="M76" s="97"/>
      <c r="N76" s="97"/>
      <c r="O76" s="97"/>
      <c r="P76" s="97"/>
      <c r="Q76" s="97"/>
      <c r="R76" s="97"/>
    </row>
    <row r="77" ht="15.75" customHeight="1" outlineLevel="1">
      <c r="A77" s="94" t="str">
        <f t="shared" si="5"/>
        <v>TC_061</v>
      </c>
      <c r="B77" s="94" t="s">
        <v>293</v>
      </c>
      <c r="C77" s="94" t="s">
        <v>252</v>
      </c>
      <c r="D77" s="94" t="s">
        <v>294</v>
      </c>
      <c r="E77" s="94" t="s">
        <v>295</v>
      </c>
      <c r="F77" s="94" t="s">
        <v>286</v>
      </c>
      <c r="G77" s="96" t="s">
        <v>29</v>
      </c>
      <c r="H77" s="97"/>
      <c r="I77" s="97"/>
      <c r="J77" s="97"/>
      <c r="K77" s="96" t="s">
        <v>29</v>
      </c>
      <c r="L77" s="97"/>
      <c r="M77" s="97"/>
      <c r="N77" s="97"/>
      <c r="O77" s="97"/>
      <c r="P77" s="97"/>
      <c r="Q77" s="97"/>
      <c r="R77" s="97"/>
    </row>
    <row r="78" ht="15.75" customHeight="1" outlineLevel="1">
      <c r="A78" s="94" t="str">
        <f t="shared" si="5"/>
        <v>TC_062</v>
      </c>
      <c r="B78" s="94" t="s">
        <v>296</v>
      </c>
      <c r="C78" s="94" t="s">
        <v>252</v>
      </c>
      <c r="D78" s="94" t="s">
        <v>297</v>
      </c>
      <c r="E78" s="94" t="s">
        <v>298</v>
      </c>
      <c r="F78" s="94" t="s">
        <v>299</v>
      </c>
      <c r="G78" s="96" t="s">
        <v>29</v>
      </c>
      <c r="H78" s="97"/>
      <c r="I78" s="97"/>
      <c r="J78" s="97"/>
      <c r="K78" s="96" t="s">
        <v>29</v>
      </c>
      <c r="L78" s="97"/>
      <c r="M78" s="97"/>
      <c r="N78" s="97"/>
      <c r="O78" s="97"/>
      <c r="P78" s="97"/>
      <c r="Q78" s="97"/>
      <c r="R78" s="97"/>
    </row>
    <row r="79" ht="15.75" customHeight="1" outlineLevel="1">
      <c r="A79" s="94" t="str">
        <f t="shared" si="5"/>
        <v>TC_063</v>
      </c>
      <c r="B79" s="94" t="s">
        <v>300</v>
      </c>
      <c r="C79" s="94" t="s">
        <v>301</v>
      </c>
      <c r="D79" s="94" t="s">
        <v>302</v>
      </c>
      <c r="E79" s="94" t="s">
        <v>303</v>
      </c>
      <c r="F79" s="94"/>
      <c r="G79" s="96" t="s">
        <v>29</v>
      </c>
      <c r="H79" s="97"/>
      <c r="I79" s="97"/>
      <c r="J79" s="97"/>
      <c r="K79" s="96" t="s">
        <v>29</v>
      </c>
      <c r="L79" s="97"/>
      <c r="M79" s="97"/>
      <c r="N79" s="97"/>
      <c r="O79" s="97"/>
      <c r="P79" s="97"/>
      <c r="Q79" s="97"/>
      <c r="R79" s="97"/>
    </row>
    <row r="80" ht="15.75" customHeight="1" outlineLevel="1">
      <c r="A80" s="94" t="str">
        <f t="shared" si="5"/>
        <v>TC_064</v>
      </c>
      <c r="B80" s="94" t="s">
        <v>304</v>
      </c>
      <c r="C80" s="94" t="s">
        <v>305</v>
      </c>
      <c r="D80" s="94" t="s">
        <v>306</v>
      </c>
      <c r="E80" s="94" t="s">
        <v>307</v>
      </c>
      <c r="F80" s="94"/>
      <c r="G80" s="96" t="s">
        <v>29</v>
      </c>
      <c r="H80" s="97"/>
      <c r="I80" s="97"/>
      <c r="J80" s="97"/>
      <c r="K80" s="96" t="s">
        <v>29</v>
      </c>
      <c r="L80" s="97"/>
      <c r="M80" s="97"/>
      <c r="N80" s="97"/>
      <c r="O80" s="97"/>
      <c r="P80" s="97"/>
      <c r="Q80" s="97"/>
      <c r="R80" s="97"/>
    </row>
    <row r="81" ht="15.75" customHeight="1" outlineLevel="1">
      <c r="A81" s="94" t="str">
        <f t="shared" si="5"/>
        <v>TC_065</v>
      </c>
      <c r="B81" s="94" t="s">
        <v>308</v>
      </c>
      <c r="C81" s="94" t="s">
        <v>305</v>
      </c>
      <c r="D81" s="94" t="s">
        <v>309</v>
      </c>
      <c r="E81" s="94" t="s">
        <v>310</v>
      </c>
      <c r="F81" s="94"/>
      <c r="G81" s="96" t="s">
        <v>29</v>
      </c>
      <c r="H81" s="97"/>
      <c r="I81" s="97"/>
      <c r="J81" s="97"/>
      <c r="K81" s="96" t="s">
        <v>29</v>
      </c>
      <c r="L81" s="97"/>
      <c r="M81" s="97"/>
      <c r="N81" s="97"/>
      <c r="O81" s="97"/>
      <c r="P81" s="97"/>
      <c r="Q81" s="97"/>
      <c r="R81" s="97"/>
    </row>
    <row r="82" ht="15.75" customHeight="1" outlineLevel="1">
      <c r="A82" s="94" t="str">
        <f t="shared" si="5"/>
        <v>TC_066</v>
      </c>
      <c r="B82" s="94" t="s">
        <v>311</v>
      </c>
      <c r="C82" s="94" t="s">
        <v>312</v>
      </c>
      <c r="D82" s="94" t="s">
        <v>313</v>
      </c>
      <c r="E82" s="94" t="s">
        <v>314</v>
      </c>
      <c r="F82" s="94"/>
      <c r="G82" s="96" t="s">
        <v>29</v>
      </c>
      <c r="H82" s="97"/>
      <c r="I82" s="97"/>
      <c r="J82" s="97"/>
      <c r="K82" s="96" t="s">
        <v>29</v>
      </c>
      <c r="L82" s="97"/>
      <c r="M82" s="97"/>
      <c r="N82" s="97"/>
      <c r="O82" s="97"/>
      <c r="P82" s="97"/>
      <c r="Q82" s="97"/>
      <c r="R82" s="97"/>
    </row>
    <row r="83" ht="15.75" customHeight="1" outlineLevel="1">
      <c r="A83" s="94" t="str">
        <f t="shared" si="5"/>
        <v>TC_067</v>
      </c>
      <c r="B83" s="94" t="s">
        <v>315</v>
      </c>
      <c r="C83" s="94" t="s">
        <v>252</v>
      </c>
      <c r="D83" s="94" t="s">
        <v>316</v>
      </c>
      <c r="E83" s="94" t="s">
        <v>317</v>
      </c>
      <c r="F83" s="94"/>
      <c r="G83" s="96" t="s">
        <v>29</v>
      </c>
      <c r="H83" s="97"/>
      <c r="I83" s="97"/>
      <c r="J83" s="97"/>
      <c r="K83" s="96" t="s">
        <v>29</v>
      </c>
      <c r="L83" s="97"/>
      <c r="M83" s="97"/>
      <c r="N83" s="97"/>
      <c r="O83" s="97"/>
      <c r="P83" s="97"/>
      <c r="Q83" s="97"/>
      <c r="R83" s="97"/>
    </row>
    <row r="84" ht="15.75" customHeight="1" outlineLevel="1">
      <c r="A84" s="94" t="str">
        <f t="shared" si="5"/>
        <v>TC_068</v>
      </c>
      <c r="B84" s="94" t="s">
        <v>318</v>
      </c>
      <c r="C84" s="94" t="s">
        <v>252</v>
      </c>
      <c r="D84" s="94" t="s">
        <v>319</v>
      </c>
      <c r="E84" s="94" t="s">
        <v>320</v>
      </c>
      <c r="F84" s="94"/>
      <c r="G84" s="96" t="s">
        <v>29</v>
      </c>
      <c r="H84" s="97"/>
      <c r="I84" s="97"/>
      <c r="J84" s="97"/>
      <c r="K84" s="96" t="s">
        <v>29</v>
      </c>
      <c r="L84" s="97"/>
      <c r="M84" s="97"/>
      <c r="N84" s="97"/>
      <c r="O84" s="97"/>
      <c r="P84" s="97"/>
      <c r="Q84" s="97"/>
      <c r="R84" s="97"/>
    </row>
    <row r="85" ht="15.75" customHeight="1">
      <c r="A85" s="92"/>
      <c r="B85" s="93" t="s">
        <v>197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73"/>
    </row>
    <row r="86" ht="15.75" customHeight="1" outlineLevel="1">
      <c r="A86" s="98"/>
      <c r="B86" s="99" t="s">
        <v>198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73"/>
    </row>
    <row r="87" ht="15.75" customHeight="1" outlineLevel="2">
      <c r="A87" s="94" t="str">
        <f t="shared" ref="A87:A94" si="6">"TC_" &amp; TEXT(ROW()-18,"000")</f>
        <v>TC_069</v>
      </c>
      <c r="B87" s="94" t="s">
        <v>199</v>
      </c>
      <c r="C87" s="94" t="s">
        <v>252</v>
      </c>
      <c r="D87" s="94" t="s">
        <v>321</v>
      </c>
      <c r="E87" s="94" t="s">
        <v>201</v>
      </c>
      <c r="F87" s="94"/>
      <c r="G87" s="96" t="s">
        <v>29</v>
      </c>
      <c r="H87" s="97"/>
      <c r="I87" s="97"/>
      <c r="J87" s="97"/>
      <c r="K87" s="96" t="s">
        <v>29</v>
      </c>
      <c r="L87" s="97"/>
      <c r="M87" s="97"/>
      <c r="N87" s="97"/>
      <c r="O87" s="97"/>
      <c r="P87" s="97"/>
      <c r="Q87" s="97"/>
      <c r="R87" s="97"/>
    </row>
    <row r="88" ht="15.75" customHeight="1" outlineLevel="2">
      <c r="A88" s="94" t="str">
        <f t="shared" si="6"/>
        <v>TC_070</v>
      </c>
      <c r="B88" s="94" t="s">
        <v>202</v>
      </c>
      <c r="C88" s="94" t="s">
        <v>252</v>
      </c>
      <c r="D88" s="94" t="s">
        <v>322</v>
      </c>
      <c r="E88" s="94" t="s">
        <v>204</v>
      </c>
      <c r="F88" s="94"/>
      <c r="G88" s="96" t="s">
        <v>29</v>
      </c>
      <c r="H88" s="97"/>
      <c r="I88" s="97"/>
      <c r="J88" s="97"/>
      <c r="K88" s="96" t="s">
        <v>29</v>
      </c>
      <c r="L88" s="97"/>
      <c r="M88" s="97"/>
      <c r="N88" s="97"/>
      <c r="O88" s="97"/>
      <c r="P88" s="97"/>
      <c r="Q88" s="97"/>
      <c r="R88" s="97"/>
    </row>
    <row r="89" ht="15.75" customHeight="1" outlineLevel="2">
      <c r="A89" s="94" t="str">
        <f t="shared" si="6"/>
        <v>TC_071</v>
      </c>
      <c r="B89" s="94" t="s">
        <v>205</v>
      </c>
      <c r="C89" s="94" t="s">
        <v>252</v>
      </c>
      <c r="D89" s="94" t="s">
        <v>206</v>
      </c>
      <c r="E89" s="94" t="s">
        <v>323</v>
      </c>
      <c r="F89" s="94"/>
      <c r="G89" s="96" t="s">
        <v>29</v>
      </c>
      <c r="H89" s="97"/>
      <c r="I89" s="97"/>
      <c r="J89" s="97"/>
      <c r="K89" s="96" t="s">
        <v>29</v>
      </c>
      <c r="L89" s="97"/>
      <c r="M89" s="97"/>
      <c r="N89" s="97"/>
      <c r="O89" s="97"/>
      <c r="P89" s="97"/>
      <c r="Q89" s="97"/>
      <c r="R89" s="97"/>
    </row>
    <row r="90" ht="15.75" customHeight="1" outlineLevel="2">
      <c r="A90" s="94" t="str">
        <f t="shared" si="6"/>
        <v>TC_072</v>
      </c>
      <c r="B90" s="94" t="s">
        <v>208</v>
      </c>
      <c r="C90" s="94" t="s">
        <v>252</v>
      </c>
      <c r="D90" s="94" t="s">
        <v>324</v>
      </c>
      <c r="E90" s="94" t="s">
        <v>219</v>
      </c>
      <c r="F90" s="94"/>
      <c r="G90" s="96" t="s">
        <v>29</v>
      </c>
      <c r="H90" s="97"/>
      <c r="I90" s="97"/>
      <c r="J90" s="97"/>
      <c r="K90" s="96" t="s">
        <v>29</v>
      </c>
      <c r="L90" s="97"/>
      <c r="M90" s="97"/>
      <c r="N90" s="97"/>
      <c r="O90" s="97"/>
      <c r="P90" s="97"/>
      <c r="Q90" s="97"/>
      <c r="R90" s="97"/>
    </row>
    <row r="91" ht="15.75" customHeight="1" outlineLevel="2">
      <c r="A91" s="94" t="str">
        <f t="shared" si="6"/>
        <v>TC_073</v>
      </c>
      <c r="B91" s="94" t="s">
        <v>211</v>
      </c>
      <c r="C91" s="94" t="s">
        <v>252</v>
      </c>
      <c r="D91" s="94" t="s">
        <v>325</v>
      </c>
      <c r="E91" s="94" t="s">
        <v>326</v>
      </c>
      <c r="F91" s="94"/>
      <c r="G91" s="96" t="s">
        <v>29</v>
      </c>
      <c r="H91" s="97"/>
      <c r="I91" s="97"/>
      <c r="J91" s="97"/>
      <c r="K91" s="96" t="s">
        <v>29</v>
      </c>
      <c r="L91" s="97"/>
      <c r="M91" s="97"/>
      <c r="N91" s="97"/>
      <c r="O91" s="97"/>
      <c r="P91" s="97"/>
      <c r="Q91" s="97"/>
      <c r="R91" s="97"/>
    </row>
    <row r="92" ht="15.75" customHeight="1" outlineLevel="2">
      <c r="A92" s="94" t="str">
        <f t="shared" si="6"/>
        <v>TC_074</v>
      </c>
      <c r="B92" s="94" t="s">
        <v>327</v>
      </c>
      <c r="C92" s="94" t="s">
        <v>252</v>
      </c>
      <c r="D92" s="94" t="s">
        <v>328</v>
      </c>
      <c r="E92" s="94" t="s">
        <v>329</v>
      </c>
      <c r="F92" s="94"/>
      <c r="G92" s="96" t="s">
        <v>29</v>
      </c>
      <c r="H92" s="97"/>
      <c r="I92" s="97"/>
      <c r="J92" s="97"/>
      <c r="K92" s="96" t="s">
        <v>29</v>
      </c>
      <c r="L92" s="97"/>
      <c r="M92" s="97"/>
      <c r="N92" s="97"/>
      <c r="O92" s="97"/>
      <c r="P92" s="97"/>
      <c r="Q92" s="97"/>
      <c r="R92" s="97"/>
    </row>
    <row r="93" ht="15.75" customHeight="1" outlineLevel="2">
      <c r="A93" s="94" t="str">
        <f t="shared" si="6"/>
        <v>TC_075</v>
      </c>
      <c r="B93" s="94" t="s">
        <v>330</v>
      </c>
      <c r="C93" s="94" t="s">
        <v>252</v>
      </c>
      <c r="D93" s="94" t="s">
        <v>331</v>
      </c>
      <c r="E93" s="94" t="s">
        <v>219</v>
      </c>
      <c r="F93" s="94"/>
      <c r="G93" s="96" t="s">
        <v>29</v>
      </c>
      <c r="H93" s="97"/>
      <c r="I93" s="97"/>
      <c r="J93" s="97"/>
      <c r="K93" s="96" t="s">
        <v>29</v>
      </c>
      <c r="L93" s="97"/>
      <c r="M93" s="97"/>
      <c r="N93" s="97"/>
      <c r="O93" s="97"/>
      <c r="P93" s="97"/>
      <c r="Q93" s="97"/>
      <c r="R93" s="97"/>
    </row>
    <row r="94" ht="15.75" customHeight="1" outlineLevel="2">
      <c r="A94" s="94" t="str">
        <f t="shared" si="6"/>
        <v>TC_076</v>
      </c>
      <c r="B94" s="94" t="s">
        <v>332</v>
      </c>
      <c r="C94" s="94" t="s">
        <v>252</v>
      </c>
      <c r="D94" s="94" t="s">
        <v>333</v>
      </c>
      <c r="E94" s="94" t="s">
        <v>219</v>
      </c>
      <c r="F94" s="94"/>
      <c r="G94" s="96" t="s">
        <v>29</v>
      </c>
      <c r="H94" s="97"/>
      <c r="I94" s="97"/>
      <c r="J94" s="97"/>
      <c r="K94" s="96" t="s">
        <v>29</v>
      </c>
      <c r="L94" s="97"/>
      <c r="M94" s="97"/>
      <c r="N94" s="97"/>
      <c r="O94" s="97"/>
      <c r="P94" s="97"/>
      <c r="Q94" s="97"/>
      <c r="R94" s="97"/>
    </row>
    <row r="95" ht="15.75" customHeight="1" outlineLevel="1">
      <c r="A95" s="98"/>
      <c r="B95" s="99" t="s">
        <v>222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73"/>
    </row>
    <row r="96" ht="15.75" customHeight="1" outlineLevel="2">
      <c r="A96" s="94" t="str">
        <f t="shared" ref="A96:A103" si="7">"TC_" &amp; TEXT(ROW()-19,"000")</f>
        <v>TC_077</v>
      </c>
      <c r="B96" s="94" t="s">
        <v>334</v>
      </c>
      <c r="C96" s="94" t="s">
        <v>252</v>
      </c>
      <c r="D96" s="94" t="s">
        <v>335</v>
      </c>
      <c r="E96" s="94" t="s">
        <v>336</v>
      </c>
      <c r="F96" s="94"/>
      <c r="G96" s="96" t="s">
        <v>29</v>
      </c>
      <c r="H96" s="97"/>
      <c r="I96" s="97"/>
      <c r="J96" s="97"/>
      <c r="K96" s="96" t="s">
        <v>29</v>
      </c>
      <c r="L96" s="97"/>
      <c r="M96" s="97"/>
      <c r="N96" s="97"/>
      <c r="O96" s="97"/>
      <c r="P96" s="97"/>
      <c r="Q96" s="97"/>
      <c r="R96" s="97"/>
    </row>
    <row r="97" ht="15.75" customHeight="1" outlineLevel="2">
      <c r="A97" s="94" t="str">
        <f t="shared" si="7"/>
        <v>TC_078</v>
      </c>
      <c r="B97" s="94" t="s">
        <v>337</v>
      </c>
      <c r="C97" s="94" t="s">
        <v>252</v>
      </c>
      <c r="D97" s="94" t="s">
        <v>338</v>
      </c>
      <c r="E97" s="94" t="s">
        <v>336</v>
      </c>
      <c r="F97" s="94"/>
      <c r="G97" s="96" t="s">
        <v>29</v>
      </c>
      <c r="H97" s="97"/>
      <c r="I97" s="97"/>
      <c r="J97" s="97"/>
      <c r="K97" s="96" t="s">
        <v>29</v>
      </c>
      <c r="L97" s="97"/>
      <c r="M97" s="97"/>
      <c r="N97" s="97"/>
      <c r="O97" s="97"/>
      <c r="P97" s="97"/>
      <c r="Q97" s="97"/>
      <c r="R97" s="97"/>
    </row>
    <row r="98" ht="15.75" customHeight="1" outlineLevel="2">
      <c r="A98" s="94" t="str">
        <f t="shared" si="7"/>
        <v>TC_079</v>
      </c>
      <c r="B98" s="94" t="s">
        <v>339</v>
      </c>
      <c r="C98" s="94" t="s">
        <v>252</v>
      </c>
      <c r="D98" s="94" t="s">
        <v>340</v>
      </c>
      <c r="E98" s="94" t="s">
        <v>341</v>
      </c>
      <c r="F98" s="94"/>
      <c r="G98" s="96" t="s">
        <v>29</v>
      </c>
      <c r="H98" s="97"/>
      <c r="I98" s="97"/>
      <c r="J98" s="97"/>
      <c r="K98" s="96" t="s">
        <v>29</v>
      </c>
      <c r="L98" s="97"/>
      <c r="M98" s="97"/>
      <c r="N98" s="97"/>
      <c r="O98" s="97"/>
      <c r="P98" s="97"/>
      <c r="Q98" s="97"/>
      <c r="R98" s="97"/>
    </row>
    <row r="99" ht="15.75" customHeight="1" outlineLevel="2">
      <c r="A99" s="94" t="str">
        <f t="shared" si="7"/>
        <v>TC_080</v>
      </c>
      <c r="B99" s="94" t="s">
        <v>342</v>
      </c>
      <c r="C99" s="94" t="s">
        <v>252</v>
      </c>
      <c r="D99" s="94" t="s">
        <v>343</v>
      </c>
      <c r="E99" s="94" t="s">
        <v>344</v>
      </c>
      <c r="F99" s="94"/>
      <c r="G99" s="96" t="s">
        <v>29</v>
      </c>
      <c r="H99" s="97"/>
      <c r="I99" s="97"/>
      <c r="J99" s="97"/>
      <c r="K99" s="96" t="s">
        <v>29</v>
      </c>
      <c r="L99" s="97"/>
      <c r="M99" s="97"/>
      <c r="N99" s="97"/>
      <c r="O99" s="97"/>
      <c r="P99" s="97"/>
      <c r="Q99" s="97"/>
      <c r="R99" s="97"/>
    </row>
    <row r="100" ht="15.75" customHeight="1" outlineLevel="2">
      <c r="A100" s="94" t="str">
        <f t="shared" si="7"/>
        <v>TC_081</v>
      </c>
      <c r="B100" s="94" t="s">
        <v>345</v>
      </c>
      <c r="C100" s="94" t="s">
        <v>252</v>
      </c>
      <c r="D100" s="94" t="s">
        <v>346</v>
      </c>
      <c r="E100" s="94" t="s">
        <v>344</v>
      </c>
      <c r="F100" s="94"/>
      <c r="G100" s="96" t="s">
        <v>29</v>
      </c>
      <c r="H100" s="97"/>
      <c r="I100" s="97"/>
      <c r="J100" s="97"/>
      <c r="K100" s="96" t="s">
        <v>29</v>
      </c>
      <c r="L100" s="97"/>
      <c r="M100" s="97"/>
      <c r="N100" s="97"/>
      <c r="O100" s="97"/>
      <c r="P100" s="97"/>
      <c r="Q100" s="97"/>
      <c r="R100" s="97"/>
    </row>
    <row r="101" ht="15.75" customHeight="1" outlineLevel="2">
      <c r="A101" s="94" t="str">
        <f t="shared" si="7"/>
        <v>TC_082</v>
      </c>
      <c r="B101" s="94" t="s">
        <v>347</v>
      </c>
      <c r="C101" s="94" t="s">
        <v>252</v>
      </c>
      <c r="D101" s="94" t="s">
        <v>348</v>
      </c>
      <c r="E101" s="95" t="s">
        <v>349</v>
      </c>
      <c r="F101" s="94"/>
      <c r="G101" s="96" t="s">
        <v>29</v>
      </c>
      <c r="H101" s="97"/>
      <c r="I101" s="97"/>
      <c r="J101" s="97"/>
      <c r="K101" s="96" t="s">
        <v>29</v>
      </c>
      <c r="L101" s="97"/>
      <c r="M101" s="97"/>
      <c r="N101" s="97"/>
      <c r="O101" s="97"/>
      <c r="P101" s="97"/>
      <c r="Q101" s="97"/>
      <c r="R101" s="97"/>
    </row>
    <row r="102" ht="15.75" customHeight="1" outlineLevel="2">
      <c r="A102" s="94" t="str">
        <f t="shared" si="7"/>
        <v>TC_083</v>
      </c>
      <c r="B102" s="94" t="s">
        <v>350</v>
      </c>
      <c r="C102" s="94" t="s">
        <v>252</v>
      </c>
      <c r="D102" s="94" t="s">
        <v>351</v>
      </c>
      <c r="E102" s="95" t="s">
        <v>349</v>
      </c>
      <c r="F102" s="94"/>
      <c r="G102" s="96" t="s">
        <v>29</v>
      </c>
      <c r="H102" s="97"/>
      <c r="I102" s="97"/>
      <c r="J102" s="97"/>
      <c r="K102" s="96" t="s">
        <v>29</v>
      </c>
      <c r="L102" s="97"/>
      <c r="M102" s="97"/>
      <c r="N102" s="97"/>
      <c r="O102" s="97"/>
      <c r="P102" s="97"/>
      <c r="Q102" s="97"/>
      <c r="R102" s="97"/>
    </row>
    <row r="103" ht="15.75" customHeight="1" outlineLevel="2">
      <c r="A103" s="94" t="str">
        <f t="shared" si="7"/>
        <v>TC_084</v>
      </c>
      <c r="B103" s="94" t="s">
        <v>352</v>
      </c>
      <c r="C103" s="94" t="s">
        <v>252</v>
      </c>
      <c r="D103" s="94" t="s">
        <v>353</v>
      </c>
      <c r="E103" s="94" t="s">
        <v>354</v>
      </c>
      <c r="F103" s="94"/>
      <c r="G103" s="96" t="s">
        <v>29</v>
      </c>
      <c r="H103" s="97"/>
      <c r="I103" s="97"/>
      <c r="J103" s="97"/>
      <c r="K103" s="96" t="s">
        <v>29</v>
      </c>
      <c r="L103" s="97"/>
      <c r="M103" s="97"/>
      <c r="N103" s="97"/>
      <c r="O103" s="97"/>
      <c r="P103" s="97"/>
      <c r="Q103" s="97"/>
      <c r="R103" s="97"/>
    </row>
    <row r="104" ht="15.75" customHeight="1">
      <c r="A104" s="90"/>
      <c r="B104" s="91" t="s">
        <v>355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73"/>
    </row>
    <row r="105" ht="15.75" customHeight="1">
      <c r="A105" s="92"/>
      <c r="B105" s="93" t="s">
        <v>83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73"/>
    </row>
    <row r="106" ht="15.75" customHeight="1" outlineLevel="1">
      <c r="A106" s="94" t="str">
        <f t="shared" ref="A106:A113" si="8">"TC_" &amp; TEXT(ROW()-21,"000")</f>
        <v>TC_085</v>
      </c>
      <c r="B106" s="94" t="s">
        <v>356</v>
      </c>
      <c r="C106" s="94" t="s">
        <v>357</v>
      </c>
      <c r="D106" s="94" t="s">
        <v>358</v>
      </c>
      <c r="E106" s="95" t="s">
        <v>359</v>
      </c>
      <c r="F106" s="94"/>
      <c r="G106" s="96" t="s">
        <v>29</v>
      </c>
      <c r="H106" s="97"/>
      <c r="I106" s="97"/>
      <c r="J106" s="97"/>
      <c r="K106" s="96" t="s">
        <v>29</v>
      </c>
      <c r="L106" s="97"/>
      <c r="M106" s="97"/>
      <c r="N106" s="97"/>
      <c r="O106" s="97"/>
      <c r="P106" s="97"/>
      <c r="Q106" s="97"/>
      <c r="R106" s="97"/>
    </row>
    <row r="107" ht="15.75" customHeight="1" outlineLevel="1">
      <c r="A107" s="94" t="str">
        <f t="shared" si="8"/>
        <v>TC_086</v>
      </c>
      <c r="B107" s="94" t="s">
        <v>360</v>
      </c>
      <c r="C107" s="94" t="s">
        <v>361</v>
      </c>
      <c r="D107" s="94" t="s">
        <v>362</v>
      </c>
      <c r="E107" s="94" t="s">
        <v>363</v>
      </c>
      <c r="F107" s="94"/>
      <c r="G107" s="96" t="s">
        <v>29</v>
      </c>
      <c r="H107" s="97"/>
      <c r="I107" s="97"/>
      <c r="J107" s="97"/>
      <c r="K107" s="96" t="s">
        <v>29</v>
      </c>
      <c r="L107" s="97"/>
      <c r="M107" s="97"/>
      <c r="N107" s="97"/>
      <c r="O107" s="97"/>
      <c r="P107" s="97"/>
      <c r="Q107" s="97"/>
      <c r="R107" s="97"/>
    </row>
    <row r="108" ht="15.75" customHeight="1" outlineLevel="1">
      <c r="A108" s="94" t="str">
        <f t="shared" si="8"/>
        <v>TC_087</v>
      </c>
      <c r="B108" s="94" t="s">
        <v>364</v>
      </c>
      <c r="C108" s="94" t="s">
        <v>365</v>
      </c>
      <c r="D108" s="94" t="s">
        <v>366</v>
      </c>
      <c r="E108" s="94" t="s">
        <v>367</v>
      </c>
      <c r="F108" s="94"/>
      <c r="G108" s="96" t="s">
        <v>29</v>
      </c>
      <c r="H108" s="97"/>
      <c r="I108" s="97"/>
      <c r="J108" s="97"/>
      <c r="K108" s="96" t="s">
        <v>29</v>
      </c>
      <c r="L108" s="97"/>
      <c r="M108" s="97"/>
      <c r="N108" s="97"/>
      <c r="O108" s="97"/>
      <c r="P108" s="97"/>
      <c r="Q108" s="97"/>
      <c r="R108" s="97"/>
    </row>
    <row r="109" ht="15.75" customHeight="1" outlineLevel="1">
      <c r="A109" s="94" t="str">
        <f t="shared" si="8"/>
        <v>TC_088</v>
      </c>
      <c r="B109" s="94" t="s">
        <v>368</v>
      </c>
      <c r="C109" s="94" t="s">
        <v>365</v>
      </c>
      <c r="D109" s="94" t="s">
        <v>369</v>
      </c>
      <c r="E109" s="94" t="s">
        <v>370</v>
      </c>
      <c r="F109" s="94"/>
      <c r="G109" s="96" t="s">
        <v>29</v>
      </c>
      <c r="H109" s="97"/>
      <c r="I109" s="97"/>
      <c r="J109" s="97"/>
      <c r="K109" s="96" t="s">
        <v>29</v>
      </c>
      <c r="L109" s="97"/>
      <c r="M109" s="97"/>
      <c r="N109" s="97"/>
      <c r="O109" s="97"/>
      <c r="P109" s="97"/>
      <c r="Q109" s="97"/>
      <c r="R109" s="97"/>
    </row>
    <row r="110" ht="15.75" customHeight="1" outlineLevel="1">
      <c r="A110" s="94" t="str">
        <f t="shared" si="8"/>
        <v>TC_089</v>
      </c>
      <c r="B110" s="94" t="s">
        <v>371</v>
      </c>
      <c r="C110" s="94" t="s">
        <v>372</v>
      </c>
      <c r="D110" s="94" t="s">
        <v>373</v>
      </c>
      <c r="E110" s="94" t="s">
        <v>374</v>
      </c>
      <c r="F110" s="94"/>
      <c r="G110" s="96" t="s">
        <v>29</v>
      </c>
      <c r="H110" s="97"/>
      <c r="I110" s="97"/>
      <c r="J110" s="97"/>
      <c r="K110" s="96" t="s">
        <v>29</v>
      </c>
      <c r="L110" s="97"/>
      <c r="M110" s="97"/>
      <c r="N110" s="97"/>
      <c r="O110" s="97"/>
      <c r="P110" s="97"/>
      <c r="Q110" s="97"/>
      <c r="R110" s="97"/>
    </row>
    <row r="111" ht="15.75" customHeight="1" outlineLevel="1">
      <c r="A111" s="94" t="str">
        <f t="shared" si="8"/>
        <v>TC_090</v>
      </c>
      <c r="B111" s="94" t="s">
        <v>375</v>
      </c>
      <c r="C111" s="94" t="s">
        <v>376</v>
      </c>
      <c r="D111" s="94" t="s">
        <v>377</v>
      </c>
      <c r="E111" s="94" t="s">
        <v>378</v>
      </c>
      <c r="F111" s="94"/>
      <c r="G111" s="96" t="s">
        <v>29</v>
      </c>
      <c r="H111" s="97"/>
      <c r="I111" s="97"/>
      <c r="J111" s="97"/>
      <c r="K111" s="96" t="s">
        <v>29</v>
      </c>
      <c r="L111" s="97"/>
      <c r="M111" s="97"/>
      <c r="N111" s="97"/>
      <c r="O111" s="97"/>
      <c r="P111" s="97"/>
      <c r="Q111" s="97"/>
      <c r="R111" s="97"/>
    </row>
    <row r="112" ht="15.75" customHeight="1" outlineLevel="1">
      <c r="A112" s="94" t="str">
        <f t="shared" si="8"/>
        <v>TC_091</v>
      </c>
      <c r="B112" s="94" t="s">
        <v>379</v>
      </c>
      <c r="C112" s="94" t="s">
        <v>380</v>
      </c>
      <c r="D112" s="94" t="s">
        <v>381</v>
      </c>
      <c r="E112" s="94" t="s">
        <v>378</v>
      </c>
      <c r="F112" s="94"/>
      <c r="G112" s="96" t="s">
        <v>29</v>
      </c>
      <c r="H112" s="97"/>
      <c r="I112" s="97"/>
      <c r="J112" s="97"/>
      <c r="K112" s="96" t="s">
        <v>29</v>
      </c>
      <c r="L112" s="97"/>
      <c r="M112" s="97"/>
      <c r="N112" s="97"/>
      <c r="O112" s="97"/>
      <c r="P112" s="97"/>
      <c r="Q112" s="97"/>
      <c r="R112" s="97"/>
    </row>
    <row r="113" ht="15.75" customHeight="1" outlineLevel="1">
      <c r="A113" s="94" t="str">
        <f t="shared" si="8"/>
        <v>TC_092</v>
      </c>
      <c r="B113" s="94" t="s">
        <v>382</v>
      </c>
      <c r="C113" s="94" t="s">
        <v>383</v>
      </c>
      <c r="D113" s="94" t="s">
        <v>384</v>
      </c>
      <c r="E113" s="94" t="s">
        <v>385</v>
      </c>
      <c r="F113" s="94" t="s">
        <v>386</v>
      </c>
      <c r="G113" s="96" t="s">
        <v>29</v>
      </c>
      <c r="H113" s="97"/>
      <c r="I113" s="97"/>
      <c r="J113" s="97"/>
      <c r="K113" s="96" t="s">
        <v>29</v>
      </c>
      <c r="L113" s="97"/>
      <c r="M113" s="97"/>
      <c r="N113" s="97"/>
      <c r="O113" s="97"/>
      <c r="P113" s="97"/>
      <c r="Q113" s="97"/>
      <c r="R113" s="97"/>
    </row>
    <row r="114" ht="15.75" customHeight="1">
      <c r="A114" s="92"/>
      <c r="B114" s="93" t="s">
        <v>118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73"/>
    </row>
    <row r="115" ht="15.75" customHeight="1" outlineLevel="1">
      <c r="A115" s="94" t="str">
        <f t="shared" ref="A115:A133" si="9">"TC_" &amp; TEXT(ROW()-22,"000")</f>
        <v>TC_093</v>
      </c>
      <c r="B115" s="94" t="s">
        <v>387</v>
      </c>
      <c r="C115" s="94" t="s">
        <v>388</v>
      </c>
      <c r="D115" s="94" t="s">
        <v>389</v>
      </c>
      <c r="E115" s="94" t="s">
        <v>390</v>
      </c>
      <c r="F115" s="94" t="s">
        <v>391</v>
      </c>
      <c r="G115" s="96" t="s">
        <v>29</v>
      </c>
      <c r="H115" s="97"/>
      <c r="I115" s="97"/>
      <c r="J115" s="97"/>
      <c r="K115" s="96" t="s">
        <v>29</v>
      </c>
      <c r="L115" s="97"/>
      <c r="M115" s="97"/>
      <c r="N115" s="97"/>
      <c r="O115" s="97"/>
      <c r="P115" s="97"/>
      <c r="Q115" s="97"/>
      <c r="R115" s="97"/>
    </row>
    <row r="116" ht="15.75" customHeight="1" outlineLevel="1">
      <c r="A116" s="94" t="str">
        <f t="shared" si="9"/>
        <v>TC_094</v>
      </c>
      <c r="B116" s="94" t="s">
        <v>392</v>
      </c>
      <c r="C116" s="94" t="s">
        <v>393</v>
      </c>
      <c r="D116" s="94" t="s">
        <v>394</v>
      </c>
      <c r="E116" s="94" t="s">
        <v>395</v>
      </c>
      <c r="F116" s="94" t="s">
        <v>391</v>
      </c>
      <c r="G116" s="96" t="s">
        <v>29</v>
      </c>
      <c r="H116" s="97"/>
      <c r="I116" s="97"/>
      <c r="J116" s="97"/>
      <c r="K116" s="96" t="s">
        <v>29</v>
      </c>
      <c r="L116" s="97"/>
      <c r="M116" s="97"/>
      <c r="N116" s="97"/>
      <c r="O116" s="97"/>
      <c r="P116" s="97"/>
      <c r="Q116" s="97"/>
      <c r="R116" s="97"/>
    </row>
    <row r="117" ht="15.75" customHeight="1" outlineLevel="1">
      <c r="A117" s="94" t="str">
        <f t="shared" si="9"/>
        <v>TC_095</v>
      </c>
      <c r="B117" s="94" t="s">
        <v>396</v>
      </c>
      <c r="C117" s="94" t="s">
        <v>397</v>
      </c>
      <c r="D117" s="94" t="s">
        <v>389</v>
      </c>
      <c r="E117" s="94" t="s">
        <v>398</v>
      </c>
      <c r="F117" s="94"/>
      <c r="G117" s="96" t="s">
        <v>29</v>
      </c>
      <c r="H117" s="97"/>
      <c r="I117" s="97"/>
      <c r="J117" s="97"/>
      <c r="K117" s="96" t="s">
        <v>29</v>
      </c>
      <c r="L117" s="97"/>
      <c r="M117" s="97"/>
      <c r="N117" s="97"/>
      <c r="O117" s="97"/>
      <c r="P117" s="97"/>
      <c r="Q117" s="97"/>
      <c r="R117" s="97"/>
    </row>
    <row r="118" ht="15.75" customHeight="1" outlineLevel="1">
      <c r="A118" s="94" t="str">
        <f t="shared" si="9"/>
        <v>TC_096</v>
      </c>
      <c r="B118" s="94" t="s">
        <v>399</v>
      </c>
      <c r="C118" s="94" t="s">
        <v>400</v>
      </c>
      <c r="D118" s="94" t="s">
        <v>394</v>
      </c>
      <c r="E118" s="94" t="s">
        <v>398</v>
      </c>
      <c r="F118" s="94"/>
      <c r="G118" s="96" t="s">
        <v>29</v>
      </c>
      <c r="H118" s="97"/>
      <c r="I118" s="97"/>
      <c r="J118" s="97"/>
      <c r="K118" s="96" t="s">
        <v>29</v>
      </c>
      <c r="L118" s="97"/>
      <c r="M118" s="97"/>
      <c r="N118" s="97"/>
      <c r="O118" s="97"/>
      <c r="P118" s="97"/>
      <c r="Q118" s="97"/>
      <c r="R118" s="97"/>
    </row>
    <row r="119" ht="15.75" customHeight="1" outlineLevel="1">
      <c r="A119" s="94" t="str">
        <f t="shared" si="9"/>
        <v>TC_097</v>
      </c>
      <c r="B119" s="94" t="s">
        <v>401</v>
      </c>
      <c r="C119" s="94" t="s">
        <v>402</v>
      </c>
      <c r="D119" s="94" t="s">
        <v>403</v>
      </c>
      <c r="E119" s="94" t="s">
        <v>404</v>
      </c>
      <c r="F119" s="94"/>
      <c r="G119" s="96" t="s">
        <v>29</v>
      </c>
      <c r="H119" s="97"/>
      <c r="I119" s="97"/>
      <c r="J119" s="97"/>
      <c r="K119" s="96" t="s">
        <v>29</v>
      </c>
      <c r="L119" s="97"/>
      <c r="M119" s="97"/>
      <c r="N119" s="97"/>
      <c r="O119" s="97"/>
      <c r="P119" s="97"/>
      <c r="Q119" s="97"/>
      <c r="R119" s="97"/>
    </row>
    <row r="120" ht="15.75" customHeight="1" outlineLevel="1">
      <c r="A120" s="94" t="str">
        <f t="shared" si="9"/>
        <v>TC_098</v>
      </c>
      <c r="B120" s="94" t="s">
        <v>405</v>
      </c>
      <c r="C120" s="94" t="s">
        <v>402</v>
      </c>
      <c r="D120" s="94" t="s">
        <v>406</v>
      </c>
      <c r="E120" s="94" t="s">
        <v>407</v>
      </c>
      <c r="F120" s="94"/>
      <c r="G120" s="96" t="s">
        <v>29</v>
      </c>
      <c r="H120" s="97"/>
      <c r="I120" s="97"/>
      <c r="J120" s="97"/>
      <c r="K120" s="96" t="s">
        <v>29</v>
      </c>
      <c r="L120" s="97"/>
      <c r="M120" s="97"/>
      <c r="N120" s="97"/>
      <c r="O120" s="97"/>
      <c r="P120" s="97"/>
      <c r="Q120" s="97"/>
      <c r="R120" s="97"/>
    </row>
    <row r="121" ht="15.75" customHeight="1" outlineLevel="1">
      <c r="A121" s="94" t="str">
        <f t="shared" si="9"/>
        <v>TC_099</v>
      </c>
      <c r="B121" s="94" t="s">
        <v>408</v>
      </c>
      <c r="C121" s="94" t="s">
        <v>409</v>
      </c>
      <c r="D121" s="94" t="s">
        <v>410</v>
      </c>
      <c r="E121" s="94" t="s">
        <v>411</v>
      </c>
      <c r="F121" s="94"/>
      <c r="G121" s="96" t="s">
        <v>29</v>
      </c>
      <c r="H121" s="97"/>
      <c r="I121" s="97"/>
      <c r="J121" s="97"/>
      <c r="K121" s="96" t="s">
        <v>29</v>
      </c>
      <c r="L121" s="97"/>
      <c r="M121" s="97"/>
      <c r="N121" s="97"/>
      <c r="O121" s="97"/>
      <c r="P121" s="97"/>
      <c r="Q121" s="97"/>
      <c r="R121" s="97"/>
    </row>
    <row r="122" ht="15.75" customHeight="1" outlineLevel="1">
      <c r="A122" s="94" t="str">
        <f t="shared" si="9"/>
        <v>TC_100</v>
      </c>
      <c r="B122" s="94" t="s">
        <v>412</v>
      </c>
      <c r="C122" s="94" t="s">
        <v>413</v>
      </c>
      <c r="D122" s="94" t="s">
        <v>414</v>
      </c>
      <c r="E122" s="94" t="s">
        <v>415</v>
      </c>
      <c r="F122" s="94"/>
      <c r="G122" s="96" t="s">
        <v>29</v>
      </c>
      <c r="H122" s="97"/>
      <c r="I122" s="97"/>
      <c r="J122" s="97"/>
      <c r="K122" s="96" t="s">
        <v>29</v>
      </c>
      <c r="L122" s="97"/>
      <c r="M122" s="97"/>
      <c r="N122" s="97"/>
      <c r="O122" s="97"/>
      <c r="P122" s="97"/>
      <c r="Q122" s="97"/>
      <c r="R122" s="97"/>
    </row>
    <row r="123" ht="15.75" customHeight="1" outlineLevel="1">
      <c r="A123" s="94" t="str">
        <f t="shared" si="9"/>
        <v>TC_101</v>
      </c>
      <c r="B123" s="94" t="s">
        <v>416</v>
      </c>
      <c r="C123" s="94" t="s">
        <v>417</v>
      </c>
      <c r="D123" s="94" t="s">
        <v>418</v>
      </c>
      <c r="E123" s="94" t="s">
        <v>419</v>
      </c>
      <c r="F123" s="94"/>
      <c r="G123" s="96" t="s">
        <v>29</v>
      </c>
      <c r="H123" s="97"/>
      <c r="I123" s="97"/>
      <c r="J123" s="97"/>
      <c r="K123" s="96" t="s">
        <v>29</v>
      </c>
      <c r="L123" s="97"/>
      <c r="M123" s="97"/>
      <c r="N123" s="97"/>
      <c r="O123" s="97"/>
      <c r="P123" s="97"/>
      <c r="Q123" s="97"/>
      <c r="R123" s="97"/>
    </row>
    <row r="124" ht="15.75" customHeight="1" outlineLevel="1">
      <c r="A124" s="94" t="str">
        <f t="shared" si="9"/>
        <v>TC_102</v>
      </c>
      <c r="B124" s="94" t="s">
        <v>420</v>
      </c>
      <c r="C124" s="94" t="s">
        <v>421</v>
      </c>
      <c r="D124" s="94" t="s">
        <v>422</v>
      </c>
      <c r="E124" s="94" t="s">
        <v>423</v>
      </c>
      <c r="F124" s="94"/>
      <c r="G124" s="96" t="s">
        <v>29</v>
      </c>
      <c r="H124" s="97"/>
      <c r="I124" s="97"/>
      <c r="J124" s="97"/>
      <c r="K124" s="96" t="s">
        <v>29</v>
      </c>
      <c r="L124" s="97"/>
      <c r="M124" s="97"/>
      <c r="N124" s="97"/>
      <c r="O124" s="97"/>
      <c r="P124" s="97"/>
      <c r="Q124" s="97"/>
      <c r="R124" s="97"/>
    </row>
    <row r="125" ht="15.75" customHeight="1" outlineLevel="1">
      <c r="A125" s="94" t="str">
        <f t="shared" si="9"/>
        <v>TC_103</v>
      </c>
      <c r="B125" s="95" t="s">
        <v>424</v>
      </c>
      <c r="C125" s="94" t="s">
        <v>425</v>
      </c>
      <c r="D125" s="94" t="s">
        <v>426</v>
      </c>
      <c r="E125" s="94" t="s">
        <v>427</v>
      </c>
      <c r="F125" s="94"/>
      <c r="G125" s="96" t="s">
        <v>29</v>
      </c>
      <c r="H125" s="97"/>
      <c r="I125" s="97"/>
      <c r="J125" s="97"/>
      <c r="K125" s="96" t="s">
        <v>29</v>
      </c>
      <c r="L125" s="97"/>
      <c r="M125" s="97"/>
      <c r="N125" s="97"/>
      <c r="O125" s="97"/>
      <c r="P125" s="97"/>
      <c r="Q125" s="97"/>
      <c r="R125" s="97"/>
    </row>
    <row r="126" ht="15.75" customHeight="1" outlineLevel="1">
      <c r="A126" s="94" t="str">
        <f t="shared" si="9"/>
        <v>TC_104</v>
      </c>
      <c r="B126" s="95" t="s">
        <v>428</v>
      </c>
      <c r="C126" s="95" t="s">
        <v>429</v>
      </c>
      <c r="D126" s="94" t="s">
        <v>426</v>
      </c>
      <c r="E126" s="94" t="s">
        <v>430</v>
      </c>
      <c r="F126" s="94" t="s">
        <v>431</v>
      </c>
      <c r="G126" s="96" t="s">
        <v>29</v>
      </c>
      <c r="H126" s="97"/>
      <c r="I126" s="97"/>
      <c r="J126" s="97"/>
      <c r="K126" s="96" t="s">
        <v>29</v>
      </c>
      <c r="L126" s="97"/>
      <c r="M126" s="97"/>
      <c r="N126" s="97"/>
      <c r="O126" s="97"/>
      <c r="P126" s="97"/>
      <c r="Q126" s="97"/>
      <c r="R126" s="97"/>
    </row>
    <row r="127" ht="15.75" customHeight="1" outlineLevel="1">
      <c r="A127" s="94" t="str">
        <f t="shared" si="9"/>
        <v>TC_105</v>
      </c>
      <c r="B127" s="95" t="s">
        <v>432</v>
      </c>
      <c r="C127" s="95" t="s">
        <v>433</v>
      </c>
      <c r="D127" s="95" t="s">
        <v>434</v>
      </c>
      <c r="E127" s="95" t="s">
        <v>435</v>
      </c>
      <c r="F127" s="94"/>
      <c r="G127" s="96" t="s">
        <v>29</v>
      </c>
      <c r="H127" s="97"/>
      <c r="I127" s="97"/>
      <c r="J127" s="97"/>
      <c r="K127" s="96" t="s">
        <v>29</v>
      </c>
      <c r="L127" s="97"/>
      <c r="M127" s="97"/>
      <c r="N127" s="97"/>
      <c r="O127" s="97"/>
      <c r="P127" s="97"/>
      <c r="Q127" s="97"/>
      <c r="R127" s="97"/>
    </row>
    <row r="128" ht="15.75" customHeight="1" outlineLevel="1">
      <c r="A128" s="94" t="str">
        <f t="shared" si="9"/>
        <v>TC_106</v>
      </c>
      <c r="B128" s="95" t="s">
        <v>436</v>
      </c>
      <c r="C128" s="95" t="s">
        <v>437</v>
      </c>
      <c r="D128" s="94" t="s">
        <v>438</v>
      </c>
      <c r="E128" s="94" t="s">
        <v>439</v>
      </c>
      <c r="F128" s="94"/>
      <c r="G128" s="96" t="s">
        <v>29</v>
      </c>
      <c r="H128" s="97"/>
      <c r="I128" s="97"/>
      <c r="J128" s="97"/>
      <c r="K128" s="96" t="s">
        <v>29</v>
      </c>
      <c r="L128" s="97"/>
      <c r="M128" s="97"/>
      <c r="N128" s="97"/>
      <c r="O128" s="97"/>
      <c r="P128" s="97"/>
      <c r="Q128" s="97"/>
      <c r="R128" s="97"/>
    </row>
    <row r="129" ht="15.75" customHeight="1" outlineLevel="1">
      <c r="A129" s="94" t="str">
        <f t="shared" si="9"/>
        <v>TC_107</v>
      </c>
      <c r="B129" s="95" t="s">
        <v>440</v>
      </c>
      <c r="C129" s="95" t="s">
        <v>441</v>
      </c>
      <c r="D129" s="95" t="s">
        <v>442</v>
      </c>
      <c r="E129" s="94" t="s">
        <v>443</v>
      </c>
      <c r="F129" s="94"/>
      <c r="G129" s="96" t="s">
        <v>29</v>
      </c>
      <c r="H129" s="97"/>
      <c r="I129" s="97"/>
      <c r="J129" s="97"/>
      <c r="K129" s="96" t="s">
        <v>29</v>
      </c>
      <c r="L129" s="97"/>
      <c r="M129" s="97"/>
      <c r="N129" s="97"/>
      <c r="O129" s="97"/>
      <c r="P129" s="97"/>
      <c r="Q129" s="97"/>
      <c r="R129" s="97"/>
    </row>
    <row r="130" ht="15.75" customHeight="1" outlineLevel="1">
      <c r="A130" s="94" t="str">
        <f t="shared" si="9"/>
        <v>TC_108</v>
      </c>
      <c r="B130" s="94" t="s">
        <v>444</v>
      </c>
      <c r="C130" s="94" t="s">
        <v>445</v>
      </c>
      <c r="D130" s="94" t="s">
        <v>446</v>
      </c>
      <c r="E130" s="94" t="s">
        <v>447</v>
      </c>
      <c r="F130" s="94"/>
      <c r="G130" s="96" t="s">
        <v>29</v>
      </c>
      <c r="H130" s="97"/>
      <c r="I130" s="97"/>
      <c r="J130" s="97"/>
      <c r="K130" s="96" t="s">
        <v>29</v>
      </c>
      <c r="L130" s="97"/>
      <c r="M130" s="97"/>
      <c r="N130" s="97"/>
      <c r="O130" s="97"/>
      <c r="P130" s="97"/>
      <c r="Q130" s="97"/>
      <c r="R130" s="97"/>
    </row>
    <row r="131" ht="15.75" customHeight="1" outlineLevel="1">
      <c r="A131" s="94" t="str">
        <f t="shared" si="9"/>
        <v>TC_109</v>
      </c>
      <c r="B131" s="94" t="s">
        <v>448</v>
      </c>
      <c r="C131" s="95" t="s">
        <v>449</v>
      </c>
      <c r="D131" s="94" t="s">
        <v>450</v>
      </c>
      <c r="E131" s="95" t="s">
        <v>451</v>
      </c>
      <c r="F131" s="94" t="s">
        <v>452</v>
      </c>
      <c r="G131" s="96" t="s">
        <v>29</v>
      </c>
      <c r="H131" s="97"/>
      <c r="I131" s="97"/>
      <c r="J131" s="97"/>
      <c r="K131" s="96" t="s">
        <v>29</v>
      </c>
      <c r="L131" s="97"/>
      <c r="M131" s="97"/>
      <c r="N131" s="97"/>
      <c r="O131" s="97"/>
      <c r="P131" s="97"/>
      <c r="Q131" s="97"/>
      <c r="R131" s="97"/>
    </row>
    <row r="132" ht="15.75" customHeight="1" outlineLevel="1">
      <c r="A132" s="94" t="str">
        <f t="shared" si="9"/>
        <v>TC_110</v>
      </c>
      <c r="B132" s="94" t="s">
        <v>453</v>
      </c>
      <c r="C132" s="94" t="s">
        <v>454</v>
      </c>
      <c r="D132" s="94" t="s">
        <v>455</v>
      </c>
      <c r="E132" s="94" t="s">
        <v>456</v>
      </c>
      <c r="F132" s="94" t="s">
        <v>196</v>
      </c>
      <c r="G132" s="96" t="s">
        <v>29</v>
      </c>
      <c r="H132" s="97"/>
      <c r="I132" s="97"/>
      <c r="J132" s="97"/>
      <c r="K132" s="96" t="s">
        <v>29</v>
      </c>
      <c r="L132" s="97"/>
      <c r="M132" s="97"/>
      <c r="N132" s="97"/>
      <c r="O132" s="97"/>
      <c r="P132" s="97"/>
      <c r="Q132" s="97"/>
      <c r="R132" s="97"/>
    </row>
    <row r="133" ht="15.75" customHeight="1" outlineLevel="1">
      <c r="A133" s="94" t="str">
        <f t="shared" si="9"/>
        <v>TC_111</v>
      </c>
      <c r="B133" s="94" t="s">
        <v>457</v>
      </c>
      <c r="C133" s="94" t="s">
        <v>458</v>
      </c>
      <c r="D133" s="94" t="s">
        <v>459</v>
      </c>
      <c r="E133" s="94" t="s">
        <v>460</v>
      </c>
      <c r="F133" s="94" t="s">
        <v>196</v>
      </c>
      <c r="G133" s="96" t="s">
        <v>29</v>
      </c>
      <c r="H133" s="97"/>
      <c r="I133" s="97"/>
      <c r="J133" s="97"/>
      <c r="K133" s="96" t="s">
        <v>29</v>
      </c>
      <c r="L133" s="97"/>
      <c r="M133" s="97"/>
      <c r="N133" s="97"/>
      <c r="O133" s="97"/>
      <c r="P133" s="97"/>
      <c r="Q133" s="97"/>
      <c r="R133" s="97"/>
    </row>
    <row r="134" ht="15.75" customHeight="1">
      <c r="A134" s="92"/>
      <c r="B134" s="93" t="s">
        <v>197</v>
      </c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73"/>
    </row>
    <row r="135" ht="15.75" customHeight="1">
      <c r="A135" s="98"/>
      <c r="B135" s="99" t="s">
        <v>198</v>
      </c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73"/>
    </row>
    <row r="136" ht="15.75" customHeight="1" outlineLevel="1">
      <c r="A136" s="94" t="s">
        <v>461</v>
      </c>
      <c r="B136" s="94" t="s">
        <v>199</v>
      </c>
      <c r="C136" s="94" t="s">
        <v>365</v>
      </c>
      <c r="D136" s="94" t="s">
        <v>321</v>
      </c>
      <c r="E136" s="94" t="s">
        <v>201</v>
      </c>
      <c r="F136" s="94"/>
      <c r="G136" s="96" t="s">
        <v>29</v>
      </c>
      <c r="H136" s="97"/>
      <c r="I136" s="97"/>
      <c r="J136" s="97"/>
      <c r="K136" s="96" t="s">
        <v>29</v>
      </c>
      <c r="L136" s="97"/>
      <c r="M136" s="97"/>
      <c r="N136" s="97"/>
      <c r="O136" s="97"/>
      <c r="P136" s="97"/>
      <c r="Q136" s="97"/>
      <c r="R136" s="97"/>
    </row>
    <row r="137" ht="15.75" customHeight="1" outlineLevel="1">
      <c r="A137" s="94" t="s">
        <v>462</v>
      </c>
      <c r="B137" s="94" t="s">
        <v>202</v>
      </c>
      <c r="C137" s="94" t="s">
        <v>365</v>
      </c>
      <c r="D137" s="94" t="s">
        <v>322</v>
      </c>
      <c r="E137" s="94" t="s">
        <v>204</v>
      </c>
      <c r="F137" s="94"/>
      <c r="G137" s="96" t="s">
        <v>29</v>
      </c>
      <c r="H137" s="97"/>
      <c r="I137" s="97"/>
      <c r="J137" s="97"/>
      <c r="K137" s="96" t="s">
        <v>29</v>
      </c>
      <c r="L137" s="97"/>
      <c r="M137" s="97"/>
      <c r="N137" s="97"/>
      <c r="O137" s="97"/>
      <c r="P137" s="97"/>
      <c r="Q137" s="97"/>
      <c r="R137" s="97"/>
    </row>
    <row r="138" ht="15.75" customHeight="1" outlineLevel="1">
      <c r="A138" s="94" t="s">
        <v>463</v>
      </c>
      <c r="B138" s="94" t="s">
        <v>205</v>
      </c>
      <c r="C138" s="94" t="s">
        <v>365</v>
      </c>
      <c r="D138" s="94" t="s">
        <v>464</v>
      </c>
      <c r="E138" s="94" t="s">
        <v>465</v>
      </c>
      <c r="F138" s="94"/>
      <c r="G138" s="96" t="s">
        <v>29</v>
      </c>
      <c r="H138" s="97"/>
      <c r="I138" s="97"/>
      <c r="J138" s="97"/>
      <c r="K138" s="96" t="s">
        <v>29</v>
      </c>
      <c r="L138" s="97"/>
      <c r="M138" s="97"/>
      <c r="N138" s="97"/>
      <c r="O138" s="97"/>
      <c r="P138" s="97"/>
      <c r="Q138" s="97"/>
      <c r="R138" s="97"/>
    </row>
    <row r="139" ht="15.75" customHeight="1" outlineLevel="1">
      <c r="A139" s="94" t="s">
        <v>466</v>
      </c>
      <c r="B139" s="94" t="s">
        <v>467</v>
      </c>
      <c r="C139" s="94" t="s">
        <v>365</v>
      </c>
      <c r="D139" s="94" t="s">
        <v>324</v>
      </c>
      <c r="E139" s="94" t="s">
        <v>219</v>
      </c>
      <c r="F139" s="94"/>
      <c r="G139" s="96" t="s">
        <v>29</v>
      </c>
      <c r="H139" s="97"/>
      <c r="I139" s="97"/>
      <c r="J139" s="97"/>
      <c r="K139" s="96" t="s">
        <v>29</v>
      </c>
      <c r="L139" s="97"/>
      <c r="M139" s="97"/>
      <c r="N139" s="97"/>
      <c r="O139" s="97"/>
      <c r="P139" s="97"/>
      <c r="Q139" s="97"/>
      <c r="R139" s="97"/>
    </row>
    <row r="140" ht="15.75" customHeight="1" outlineLevel="1">
      <c r="A140" s="94" t="s">
        <v>468</v>
      </c>
      <c r="B140" s="94" t="s">
        <v>469</v>
      </c>
      <c r="C140" s="94" t="s">
        <v>365</v>
      </c>
      <c r="D140" s="94" t="s">
        <v>325</v>
      </c>
      <c r="E140" s="94" t="s">
        <v>470</v>
      </c>
      <c r="F140" s="94"/>
      <c r="G140" s="96" t="s">
        <v>29</v>
      </c>
      <c r="H140" s="97"/>
      <c r="I140" s="97"/>
      <c r="J140" s="97"/>
      <c r="K140" s="96" t="s">
        <v>29</v>
      </c>
      <c r="L140" s="97"/>
      <c r="M140" s="97"/>
      <c r="N140" s="97"/>
      <c r="O140" s="97"/>
      <c r="P140" s="97"/>
      <c r="Q140" s="97"/>
      <c r="R140" s="97"/>
    </row>
    <row r="141" ht="15.75" customHeight="1" outlineLevel="1">
      <c r="A141" s="94" t="s">
        <v>471</v>
      </c>
      <c r="B141" s="94" t="s">
        <v>327</v>
      </c>
      <c r="C141" s="94" t="s">
        <v>365</v>
      </c>
      <c r="D141" s="94" t="s">
        <v>472</v>
      </c>
      <c r="E141" s="94" t="s">
        <v>473</v>
      </c>
      <c r="F141" s="94"/>
      <c r="G141" s="96" t="s">
        <v>29</v>
      </c>
      <c r="H141" s="97"/>
      <c r="I141" s="97"/>
      <c r="J141" s="97"/>
      <c r="K141" s="96" t="s">
        <v>29</v>
      </c>
      <c r="L141" s="97"/>
      <c r="M141" s="97"/>
      <c r="N141" s="97"/>
      <c r="O141" s="97"/>
      <c r="P141" s="97"/>
      <c r="Q141" s="97"/>
      <c r="R141" s="97"/>
    </row>
    <row r="142" ht="15.75" customHeight="1" outlineLevel="1">
      <c r="A142" s="94" t="s">
        <v>474</v>
      </c>
      <c r="B142" s="94" t="s">
        <v>330</v>
      </c>
      <c r="C142" s="94" t="s">
        <v>365</v>
      </c>
      <c r="D142" s="94" t="s">
        <v>475</v>
      </c>
      <c r="E142" s="94" t="s">
        <v>219</v>
      </c>
      <c r="F142" s="94"/>
      <c r="G142" s="96" t="s">
        <v>29</v>
      </c>
      <c r="H142" s="97"/>
      <c r="I142" s="97"/>
      <c r="J142" s="97"/>
      <c r="K142" s="96" t="s">
        <v>29</v>
      </c>
      <c r="L142" s="97"/>
      <c r="M142" s="97"/>
      <c r="N142" s="97"/>
      <c r="O142" s="97"/>
      <c r="P142" s="97"/>
      <c r="Q142" s="97"/>
      <c r="R142" s="97"/>
    </row>
    <row r="143" ht="15.75" customHeight="1" outlineLevel="1">
      <c r="A143" s="94" t="s">
        <v>476</v>
      </c>
      <c r="B143" s="94" t="s">
        <v>332</v>
      </c>
      <c r="C143" s="94" t="s">
        <v>365</v>
      </c>
      <c r="D143" s="94" t="s">
        <v>477</v>
      </c>
      <c r="E143" s="94" t="s">
        <v>219</v>
      </c>
      <c r="F143" s="94"/>
      <c r="G143" s="96" t="s">
        <v>29</v>
      </c>
      <c r="H143" s="97"/>
      <c r="I143" s="97"/>
      <c r="J143" s="97"/>
      <c r="K143" s="96" t="s">
        <v>29</v>
      </c>
      <c r="L143" s="97"/>
      <c r="M143" s="97"/>
      <c r="N143" s="97"/>
      <c r="O143" s="97"/>
      <c r="P143" s="97"/>
      <c r="Q143" s="97"/>
      <c r="R143" s="97"/>
    </row>
    <row r="144" ht="15.75" customHeight="1">
      <c r="A144" s="98"/>
      <c r="B144" s="99" t="s">
        <v>222</v>
      </c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73"/>
    </row>
    <row r="145" ht="15.75" customHeight="1" outlineLevel="1">
      <c r="A145" s="94" t="s">
        <v>478</v>
      </c>
      <c r="B145" s="94" t="s">
        <v>334</v>
      </c>
      <c r="C145" s="94" t="s">
        <v>365</v>
      </c>
      <c r="D145" s="94" t="s">
        <v>479</v>
      </c>
      <c r="E145" s="94" t="s">
        <v>480</v>
      </c>
      <c r="F145" s="94"/>
      <c r="G145" s="96" t="s">
        <v>29</v>
      </c>
      <c r="H145" s="97"/>
      <c r="I145" s="97"/>
      <c r="J145" s="97"/>
      <c r="K145" s="96" t="s">
        <v>29</v>
      </c>
      <c r="L145" s="97"/>
      <c r="M145" s="97"/>
      <c r="N145" s="97"/>
      <c r="O145" s="97"/>
      <c r="P145" s="97"/>
      <c r="Q145" s="97"/>
      <c r="R145" s="97"/>
    </row>
    <row r="146" ht="15.75" customHeight="1" outlineLevel="1">
      <c r="A146" s="94" t="s">
        <v>481</v>
      </c>
      <c r="B146" s="94" t="s">
        <v>337</v>
      </c>
      <c r="C146" s="94" t="s">
        <v>365</v>
      </c>
      <c r="D146" s="94" t="s">
        <v>482</v>
      </c>
      <c r="E146" s="94" t="s">
        <v>480</v>
      </c>
      <c r="F146" s="94"/>
      <c r="G146" s="96" t="s">
        <v>29</v>
      </c>
      <c r="H146" s="97"/>
      <c r="I146" s="97"/>
      <c r="J146" s="97"/>
      <c r="K146" s="96" t="s">
        <v>29</v>
      </c>
      <c r="L146" s="97"/>
      <c r="M146" s="97"/>
      <c r="N146" s="97"/>
      <c r="O146" s="97"/>
      <c r="P146" s="97"/>
      <c r="Q146" s="97"/>
      <c r="R146" s="97"/>
    </row>
    <row r="147" ht="15.75" customHeight="1" outlineLevel="1">
      <c r="A147" s="94" t="s">
        <v>483</v>
      </c>
      <c r="B147" s="94" t="s">
        <v>339</v>
      </c>
      <c r="C147" s="94" t="s">
        <v>365</v>
      </c>
      <c r="D147" s="94" t="s">
        <v>484</v>
      </c>
      <c r="E147" s="94" t="s">
        <v>485</v>
      </c>
      <c r="F147" s="94"/>
      <c r="G147" s="96" t="s">
        <v>29</v>
      </c>
      <c r="H147" s="97"/>
      <c r="I147" s="97"/>
      <c r="J147" s="97"/>
      <c r="K147" s="96" t="s">
        <v>29</v>
      </c>
      <c r="L147" s="97"/>
      <c r="M147" s="97"/>
      <c r="N147" s="97"/>
      <c r="O147" s="97"/>
      <c r="P147" s="97"/>
      <c r="Q147" s="97"/>
      <c r="R147" s="97"/>
    </row>
    <row r="148" ht="15.75" customHeight="1" outlineLevel="1">
      <c r="A148" s="94" t="s">
        <v>486</v>
      </c>
      <c r="B148" s="94" t="s">
        <v>342</v>
      </c>
      <c r="C148" s="94" t="s">
        <v>365</v>
      </c>
      <c r="D148" s="94" t="s">
        <v>487</v>
      </c>
      <c r="E148" s="94" t="s">
        <v>344</v>
      </c>
      <c r="F148" s="94"/>
      <c r="G148" s="96" t="s">
        <v>29</v>
      </c>
      <c r="H148" s="97"/>
      <c r="I148" s="97"/>
      <c r="J148" s="97"/>
      <c r="K148" s="96" t="s">
        <v>29</v>
      </c>
      <c r="L148" s="97"/>
      <c r="M148" s="97"/>
      <c r="N148" s="97"/>
      <c r="O148" s="97"/>
      <c r="P148" s="97"/>
      <c r="Q148" s="97"/>
      <c r="R148" s="97"/>
    </row>
    <row r="149" ht="15.75" customHeight="1" outlineLevel="1">
      <c r="A149" s="94" t="s">
        <v>488</v>
      </c>
      <c r="B149" s="94" t="s">
        <v>489</v>
      </c>
      <c r="C149" s="94" t="s">
        <v>365</v>
      </c>
      <c r="D149" s="94" t="s">
        <v>490</v>
      </c>
      <c r="E149" s="94" t="s">
        <v>344</v>
      </c>
      <c r="F149" s="94"/>
      <c r="G149" s="96" t="s">
        <v>29</v>
      </c>
      <c r="H149" s="97"/>
      <c r="I149" s="97"/>
      <c r="J149" s="97"/>
      <c r="K149" s="96" t="s">
        <v>29</v>
      </c>
      <c r="L149" s="97"/>
      <c r="M149" s="97"/>
      <c r="N149" s="97"/>
      <c r="O149" s="97"/>
      <c r="P149" s="97"/>
      <c r="Q149" s="97"/>
      <c r="R149" s="97"/>
    </row>
    <row r="150" ht="15.75" customHeight="1" outlineLevel="1">
      <c r="A150" s="94" t="s">
        <v>491</v>
      </c>
      <c r="B150" s="94" t="s">
        <v>347</v>
      </c>
      <c r="C150" s="94" t="s">
        <v>365</v>
      </c>
      <c r="D150" s="94" t="s">
        <v>492</v>
      </c>
      <c r="E150" s="95" t="s">
        <v>493</v>
      </c>
      <c r="F150" s="94"/>
      <c r="G150" s="96" t="s">
        <v>29</v>
      </c>
      <c r="H150" s="97"/>
      <c r="I150" s="97"/>
      <c r="J150" s="97"/>
      <c r="K150" s="96" t="s">
        <v>29</v>
      </c>
      <c r="L150" s="97"/>
      <c r="M150" s="97"/>
      <c r="N150" s="97"/>
      <c r="O150" s="97"/>
      <c r="P150" s="97"/>
      <c r="Q150" s="97"/>
      <c r="R150" s="97"/>
    </row>
    <row r="151" ht="15.75" customHeight="1" outlineLevel="1">
      <c r="A151" s="94" t="s">
        <v>494</v>
      </c>
      <c r="B151" s="94" t="s">
        <v>350</v>
      </c>
      <c r="C151" s="94" t="s">
        <v>365</v>
      </c>
      <c r="D151" s="94" t="s">
        <v>351</v>
      </c>
      <c r="E151" s="95" t="s">
        <v>495</v>
      </c>
      <c r="F151" s="94"/>
      <c r="G151" s="96" t="s">
        <v>29</v>
      </c>
      <c r="H151" s="97"/>
      <c r="I151" s="97"/>
      <c r="J151" s="97"/>
      <c r="K151" s="96" t="s">
        <v>29</v>
      </c>
      <c r="L151" s="97"/>
      <c r="M151" s="97"/>
      <c r="N151" s="97"/>
      <c r="O151" s="97"/>
      <c r="P151" s="97"/>
      <c r="Q151" s="97"/>
      <c r="R151" s="97"/>
    </row>
    <row r="152" ht="15.75" customHeight="1" outlineLevel="1">
      <c r="A152" s="94" t="s">
        <v>496</v>
      </c>
      <c r="B152" s="94" t="s">
        <v>352</v>
      </c>
      <c r="C152" s="94" t="s">
        <v>365</v>
      </c>
      <c r="D152" s="94" t="s">
        <v>497</v>
      </c>
      <c r="E152" s="94" t="s">
        <v>354</v>
      </c>
      <c r="F152" s="94"/>
      <c r="G152" s="96" t="s">
        <v>29</v>
      </c>
      <c r="H152" s="97"/>
      <c r="I152" s="97"/>
      <c r="J152" s="97"/>
      <c r="K152" s="96" t="s">
        <v>29</v>
      </c>
      <c r="L152" s="97"/>
      <c r="M152" s="97"/>
      <c r="N152" s="97"/>
      <c r="O152" s="97"/>
      <c r="P152" s="97"/>
      <c r="Q152" s="97"/>
      <c r="R152" s="97"/>
    </row>
    <row r="153" ht="15.75" customHeight="1">
      <c r="G153" s="100"/>
    </row>
    <row r="154" ht="15.75" customHeight="1">
      <c r="G154" s="100"/>
    </row>
    <row r="155" ht="15.75" customHeight="1">
      <c r="G155" s="100"/>
    </row>
    <row r="156" ht="15.75" customHeight="1">
      <c r="G156" s="100"/>
    </row>
    <row r="157" ht="15.75" customHeight="1">
      <c r="G157" s="100"/>
    </row>
    <row r="158" ht="15.75" customHeight="1">
      <c r="G158" s="100"/>
    </row>
    <row r="159" ht="15.75" customHeight="1">
      <c r="G159" s="100"/>
    </row>
    <row r="160" ht="15.75" customHeight="1">
      <c r="G160" s="100"/>
    </row>
    <row r="161" ht="15.75" customHeight="1">
      <c r="G161" s="100"/>
    </row>
    <row r="162" ht="15.75" customHeight="1">
      <c r="G162" s="100"/>
    </row>
    <row r="163" ht="15.75" customHeight="1">
      <c r="G163" s="100"/>
    </row>
    <row r="164" ht="15.75" customHeight="1">
      <c r="G164" s="100"/>
    </row>
    <row r="165" ht="15.75" customHeight="1">
      <c r="G165" s="100"/>
    </row>
    <row r="166" ht="15.75" customHeight="1">
      <c r="G166" s="100"/>
    </row>
    <row r="167" ht="15.75" customHeight="1">
      <c r="G167" s="100"/>
    </row>
    <row r="168" ht="15.75" customHeight="1">
      <c r="G168" s="100"/>
    </row>
    <row r="169" ht="15.75" customHeight="1">
      <c r="G169" s="100"/>
    </row>
    <row r="170" ht="15.75" customHeight="1">
      <c r="G170" s="100"/>
    </row>
    <row r="171" ht="15.75" customHeight="1">
      <c r="G171" s="100"/>
    </row>
    <row r="172" ht="15.75" customHeight="1">
      <c r="G172" s="100"/>
    </row>
    <row r="173" ht="15.75" customHeight="1">
      <c r="G173" s="100"/>
    </row>
    <row r="174" ht="15.75" customHeight="1">
      <c r="G174" s="100"/>
    </row>
    <row r="175" ht="15.75" customHeight="1">
      <c r="G175" s="100"/>
    </row>
    <row r="176" ht="15.75" customHeight="1">
      <c r="G176" s="100"/>
    </row>
    <row r="177" ht="15.75" customHeight="1">
      <c r="G177" s="100"/>
    </row>
    <row r="178" ht="15.75" customHeight="1">
      <c r="G178" s="100"/>
    </row>
    <row r="179" ht="15.75" customHeight="1">
      <c r="G179" s="100"/>
    </row>
    <row r="180" ht="15.75" customHeight="1">
      <c r="G180" s="100"/>
    </row>
    <row r="181" ht="15.75" customHeight="1">
      <c r="G181" s="100"/>
    </row>
    <row r="182" ht="15.75" customHeight="1">
      <c r="G182" s="100"/>
    </row>
    <row r="183" ht="15.75" customHeight="1">
      <c r="G183" s="100"/>
    </row>
    <row r="184" ht="15.75" customHeight="1">
      <c r="G184" s="100"/>
    </row>
    <row r="185" ht="15.75" customHeight="1">
      <c r="G185" s="100"/>
    </row>
    <row r="186" ht="15.75" customHeight="1">
      <c r="G186" s="100"/>
    </row>
    <row r="187" ht="15.75" customHeight="1">
      <c r="G187" s="100"/>
    </row>
    <row r="188" ht="15.75" customHeight="1">
      <c r="G188" s="100"/>
    </row>
    <row r="189" ht="15.75" customHeight="1">
      <c r="G189" s="100"/>
    </row>
    <row r="190" ht="15.75" customHeight="1">
      <c r="G190" s="100"/>
    </row>
    <row r="191" ht="15.75" customHeight="1">
      <c r="G191" s="100"/>
    </row>
    <row r="192" ht="15.75" customHeight="1">
      <c r="G192" s="100"/>
    </row>
    <row r="193" ht="15.75" customHeight="1">
      <c r="G193" s="100"/>
    </row>
    <row r="194" ht="15.75" customHeight="1">
      <c r="G194" s="100"/>
    </row>
    <row r="195" ht="15.75" customHeight="1">
      <c r="G195" s="100"/>
    </row>
    <row r="196" ht="15.75" customHeight="1">
      <c r="G196" s="100"/>
    </row>
    <row r="197" ht="15.75" customHeight="1">
      <c r="G197" s="100"/>
    </row>
    <row r="198" ht="15.75" customHeight="1">
      <c r="G198" s="100"/>
    </row>
    <row r="199" ht="15.75" customHeight="1">
      <c r="G199" s="100"/>
    </row>
    <row r="200" ht="15.75" customHeight="1">
      <c r="G200" s="100"/>
    </row>
    <row r="201" ht="15.75" customHeight="1">
      <c r="G201" s="100"/>
    </row>
    <row r="202" ht="15.75" customHeight="1">
      <c r="G202" s="100"/>
    </row>
    <row r="203" ht="15.75" customHeight="1">
      <c r="G203" s="100"/>
    </row>
    <row r="204" ht="15.75" customHeight="1">
      <c r="G204" s="100"/>
    </row>
    <row r="205" ht="15.75" customHeight="1">
      <c r="G205" s="100"/>
    </row>
    <row r="206" ht="15.75" customHeight="1">
      <c r="G206" s="100"/>
    </row>
    <row r="207" ht="15.75" customHeight="1">
      <c r="G207" s="100"/>
    </row>
    <row r="208" ht="15.75" customHeight="1">
      <c r="G208" s="100"/>
    </row>
    <row r="209" ht="15.75" customHeight="1">
      <c r="G209" s="100"/>
    </row>
    <row r="210" ht="15.75" customHeight="1">
      <c r="G210" s="100"/>
    </row>
    <row r="211" ht="15.75" customHeight="1">
      <c r="G211" s="100"/>
    </row>
    <row r="212" ht="15.75" customHeight="1">
      <c r="G212" s="100"/>
    </row>
    <row r="213" ht="15.75" customHeight="1">
      <c r="G213" s="100"/>
    </row>
    <row r="214" ht="15.75" customHeight="1">
      <c r="G214" s="100"/>
    </row>
    <row r="215" ht="15.75" customHeight="1">
      <c r="G215" s="100"/>
    </row>
    <row r="216" ht="15.75" customHeight="1">
      <c r="G216" s="100"/>
    </row>
    <row r="217" ht="15.75" customHeight="1">
      <c r="G217" s="100"/>
    </row>
    <row r="218" ht="15.75" customHeight="1">
      <c r="G218" s="100"/>
    </row>
    <row r="219" ht="15.75" customHeight="1">
      <c r="G219" s="100"/>
    </row>
    <row r="220" ht="15.75" customHeight="1">
      <c r="G220" s="100"/>
    </row>
    <row r="221" ht="15.75" customHeight="1">
      <c r="G221" s="100"/>
    </row>
    <row r="222" ht="15.75" customHeight="1">
      <c r="G222" s="100"/>
    </row>
    <row r="223" ht="15.75" customHeight="1">
      <c r="G223" s="100"/>
    </row>
    <row r="224" ht="15.75" customHeight="1">
      <c r="G224" s="100"/>
    </row>
    <row r="225" ht="15.75" customHeight="1">
      <c r="G225" s="100"/>
    </row>
    <row r="226" ht="15.75" customHeight="1">
      <c r="G226" s="100"/>
    </row>
    <row r="227" ht="15.75" customHeight="1">
      <c r="G227" s="100"/>
    </row>
    <row r="228" ht="15.75" customHeight="1">
      <c r="G228" s="100"/>
    </row>
    <row r="229" ht="15.75" customHeight="1">
      <c r="G229" s="100"/>
    </row>
    <row r="230" ht="15.75" customHeight="1">
      <c r="G230" s="100"/>
    </row>
    <row r="231" ht="15.75" customHeight="1">
      <c r="G231" s="100"/>
    </row>
    <row r="232" ht="15.75" customHeight="1">
      <c r="G232" s="100"/>
    </row>
    <row r="233" ht="15.75" customHeight="1">
      <c r="G233" s="100"/>
    </row>
    <row r="234" ht="15.75" customHeight="1">
      <c r="G234" s="100"/>
    </row>
    <row r="235" ht="15.75" customHeight="1">
      <c r="G235" s="100"/>
    </row>
    <row r="236" ht="15.75" customHeight="1">
      <c r="G236" s="100"/>
    </row>
    <row r="237" ht="15.75" customHeight="1">
      <c r="G237" s="100"/>
    </row>
    <row r="238" ht="15.75" customHeight="1">
      <c r="G238" s="100"/>
    </row>
    <row r="239" ht="15.75" customHeight="1">
      <c r="G239" s="100"/>
    </row>
    <row r="240" ht="15.75" customHeight="1">
      <c r="G240" s="100"/>
    </row>
    <row r="241" ht="15.75" customHeight="1">
      <c r="G241" s="100"/>
    </row>
    <row r="242" ht="15.75" customHeight="1">
      <c r="G242" s="100"/>
    </row>
    <row r="243" ht="15.75" customHeight="1">
      <c r="G243" s="100"/>
    </row>
    <row r="244" ht="15.75" customHeight="1">
      <c r="G244" s="100"/>
    </row>
    <row r="245" ht="15.75" customHeight="1">
      <c r="G245" s="100"/>
    </row>
    <row r="246" ht="15.75" customHeight="1">
      <c r="G246" s="100"/>
    </row>
    <row r="247" ht="15.75" customHeight="1">
      <c r="G247" s="100"/>
    </row>
    <row r="248" ht="15.75" customHeight="1">
      <c r="G248" s="100"/>
    </row>
    <row r="249" ht="15.75" customHeight="1">
      <c r="G249" s="100"/>
    </row>
    <row r="250" ht="15.75" customHeight="1">
      <c r="G250" s="100"/>
    </row>
    <row r="251" ht="15.75" customHeight="1">
      <c r="G251" s="100"/>
    </row>
    <row r="252" ht="15.75" customHeight="1">
      <c r="G252" s="100"/>
    </row>
    <row r="253" ht="15.75" customHeight="1">
      <c r="G253" s="100"/>
    </row>
    <row r="254" ht="15.75" customHeight="1">
      <c r="G254" s="100"/>
    </row>
    <row r="255" ht="15.75" customHeight="1">
      <c r="G255" s="100"/>
    </row>
    <row r="256" ht="15.75" customHeight="1">
      <c r="G256" s="100"/>
    </row>
    <row r="257" ht="15.75" customHeight="1">
      <c r="G257" s="100"/>
    </row>
    <row r="258" ht="15.75" customHeight="1">
      <c r="G258" s="100"/>
    </row>
    <row r="259" ht="15.75" customHeight="1">
      <c r="G259" s="100"/>
    </row>
    <row r="260" ht="15.75" customHeight="1">
      <c r="G260" s="100"/>
    </row>
    <row r="261" ht="15.75" customHeight="1">
      <c r="G261" s="100"/>
    </row>
    <row r="262" ht="15.75" customHeight="1">
      <c r="G262" s="100"/>
    </row>
    <row r="263" ht="15.75" customHeight="1">
      <c r="G263" s="100"/>
    </row>
    <row r="264" ht="15.75" customHeight="1">
      <c r="G264" s="100"/>
    </row>
    <row r="265" ht="15.75" customHeight="1">
      <c r="G265" s="100"/>
    </row>
    <row r="266" ht="15.75" customHeight="1">
      <c r="G266" s="100"/>
    </row>
    <row r="267" ht="15.75" customHeight="1">
      <c r="G267" s="100"/>
    </row>
    <row r="268" ht="15.75" customHeight="1">
      <c r="G268" s="100"/>
    </row>
    <row r="269" ht="15.75" customHeight="1">
      <c r="G269" s="100"/>
    </row>
    <row r="270" ht="15.75" customHeight="1">
      <c r="G270" s="100"/>
    </row>
    <row r="271" ht="15.75" customHeight="1">
      <c r="G271" s="100"/>
    </row>
    <row r="272" ht="15.75" customHeight="1">
      <c r="G272" s="100"/>
    </row>
    <row r="273" ht="15.75" customHeight="1">
      <c r="G273" s="100"/>
    </row>
    <row r="274" ht="15.75" customHeight="1">
      <c r="G274" s="100"/>
    </row>
    <row r="275" ht="15.75" customHeight="1">
      <c r="G275" s="100"/>
    </row>
    <row r="276" ht="15.75" customHeight="1">
      <c r="G276" s="100"/>
    </row>
    <row r="277" ht="15.75" customHeight="1">
      <c r="G277" s="100"/>
    </row>
    <row r="278" ht="15.75" customHeight="1">
      <c r="G278" s="100"/>
    </row>
    <row r="279" ht="15.75" customHeight="1">
      <c r="G279" s="100"/>
    </row>
    <row r="280" ht="15.75" customHeight="1">
      <c r="G280" s="100"/>
    </row>
    <row r="281" ht="15.75" customHeight="1">
      <c r="G281" s="100"/>
    </row>
    <row r="282" ht="15.75" customHeight="1">
      <c r="G282" s="100"/>
    </row>
    <row r="283" ht="15.75" customHeight="1">
      <c r="G283" s="100"/>
    </row>
    <row r="284" ht="15.75" customHeight="1">
      <c r="G284" s="100"/>
    </row>
    <row r="285" ht="15.75" customHeight="1">
      <c r="G285" s="100"/>
    </row>
    <row r="286" ht="15.75" customHeight="1">
      <c r="G286" s="100"/>
    </row>
    <row r="287" ht="15.75" customHeight="1">
      <c r="G287" s="100"/>
    </row>
    <row r="288" ht="15.75" customHeight="1">
      <c r="G288" s="100"/>
    </row>
    <row r="289" ht="15.75" customHeight="1">
      <c r="G289" s="100"/>
    </row>
    <row r="290" ht="15.75" customHeight="1">
      <c r="G290" s="100"/>
    </row>
    <row r="291" ht="15.75" customHeight="1">
      <c r="G291" s="100"/>
    </row>
    <row r="292" ht="15.75" customHeight="1">
      <c r="G292" s="100"/>
    </row>
    <row r="293" ht="15.75" customHeight="1">
      <c r="G293" s="100"/>
    </row>
    <row r="294" ht="15.75" customHeight="1">
      <c r="G294" s="100"/>
    </row>
    <row r="295" ht="15.75" customHeight="1">
      <c r="G295" s="100"/>
    </row>
    <row r="296" ht="15.75" customHeight="1">
      <c r="G296" s="100"/>
    </row>
    <row r="297" ht="15.75" customHeight="1">
      <c r="G297" s="100"/>
    </row>
    <row r="298" ht="15.75" customHeight="1">
      <c r="G298" s="100"/>
    </row>
    <row r="299" ht="15.75" customHeight="1">
      <c r="G299" s="100"/>
    </row>
    <row r="300" ht="15.75" customHeight="1">
      <c r="G300" s="100"/>
    </row>
    <row r="301" ht="15.75" customHeight="1">
      <c r="G301" s="100"/>
    </row>
    <row r="302" ht="15.75" customHeight="1">
      <c r="G302" s="100"/>
    </row>
    <row r="303" ht="15.75" customHeight="1">
      <c r="G303" s="100"/>
    </row>
    <row r="304" ht="15.75" customHeight="1">
      <c r="G304" s="100"/>
    </row>
    <row r="305" ht="15.75" customHeight="1">
      <c r="G305" s="100"/>
    </row>
    <row r="306" ht="15.75" customHeight="1">
      <c r="G306" s="100"/>
    </row>
    <row r="307" ht="15.75" customHeight="1">
      <c r="G307" s="100"/>
    </row>
    <row r="308" ht="15.75" customHeight="1">
      <c r="G308" s="100"/>
    </row>
    <row r="309" ht="15.75" customHeight="1">
      <c r="G309" s="100"/>
    </row>
    <row r="310" ht="15.75" customHeight="1">
      <c r="G310" s="100"/>
    </row>
    <row r="311" ht="15.75" customHeight="1">
      <c r="G311" s="100"/>
    </row>
    <row r="312" ht="15.75" customHeight="1">
      <c r="G312" s="100"/>
    </row>
    <row r="313" ht="15.75" customHeight="1">
      <c r="G313" s="100"/>
    </row>
    <row r="314" ht="15.75" customHeight="1">
      <c r="G314" s="100"/>
    </row>
    <row r="315" ht="15.75" customHeight="1">
      <c r="G315" s="100"/>
    </row>
    <row r="316" ht="15.75" customHeight="1">
      <c r="G316" s="100"/>
    </row>
    <row r="317" ht="15.75" customHeight="1">
      <c r="G317" s="100"/>
    </row>
    <row r="318" ht="15.75" customHeight="1">
      <c r="G318" s="100"/>
    </row>
    <row r="319" ht="15.75" customHeight="1">
      <c r="G319" s="100"/>
    </row>
    <row r="320" ht="15.75" customHeight="1">
      <c r="G320" s="100"/>
    </row>
    <row r="321" ht="15.75" customHeight="1">
      <c r="G321" s="100"/>
    </row>
    <row r="322" ht="15.75" customHeight="1">
      <c r="G322" s="100"/>
    </row>
    <row r="323" ht="15.75" customHeight="1">
      <c r="G323" s="100"/>
    </row>
    <row r="324" ht="15.75" customHeight="1">
      <c r="G324" s="100"/>
    </row>
    <row r="325" ht="15.75" customHeight="1">
      <c r="G325" s="100"/>
    </row>
    <row r="326" ht="15.75" customHeight="1">
      <c r="G326" s="100"/>
    </row>
    <row r="327" ht="15.75" customHeight="1">
      <c r="G327" s="100"/>
    </row>
    <row r="328" ht="15.75" customHeight="1">
      <c r="G328" s="100"/>
    </row>
    <row r="329" ht="15.75" customHeight="1">
      <c r="G329" s="100"/>
    </row>
    <row r="330" ht="15.75" customHeight="1">
      <c r="G330" s="100"/>
    </row>
    <row r="331" ht="15.75" customHeight="1">
      <c r="G331" s="100"/>
    </row>
    <row r="332" ht="15.75" customHeight="1">
      <c r="G332" s="100"/>
    </row>
    <row r="333" ht="15.75" customHeight="1">
      <c r="G333" s="100"/>
    </row>
    <row r="334" ht="15.75" customHeight="1">
      <c r="G334" s="100"/>
    </row>
    <row r="335" ht="15.75" customHeight="1">
      <c r="G335" s="100"/>
    </row>
    <row r="336" ht="15.75" customHeight="1">
      <c r="G336" s="100"/>
    </row>
    <row r="337" ht="15.75" customHeight="1">
      <c r="G337" s="100"/>
    </row>
    <row r="338" ht="15.75" customHeight="1">
      <c r="G338" s="100"/>
    </row>
    <row r="339" ht="15.75" customHeight="1">
      <c r="G339" s="100"/>
    </row>
    <row r="340" ht="15.75" customHeight="1">
      <c r="G340" s="100"/>
    </row>
    <row r="341" ht="15.75" customHeight="1">
      <c r="G341" s="100"/>
    </row>
    <row r="342" ht="15.75" customHeight="1">
      <c r="G342" s="100"/>
    </row>
    <row r="343" ht="15.75" customHeight="1">
      <c r="G343" s="100"/>
    </row>
    <row r="344" ht="15.75" customHeight="1">
      <c r="G344" s="100"/>
    </row>
    <row r="345" ht="15.75" customHeight="1">
      <c r="G345" s="100"/>
    </row>
    <row r="346" ht="15.75" customHeight="1">
      <c r="G346" s="100"/>
    </row>
    <row r="347" ht="15.75" customHeight="1">
      <c r="G347" s="100"/>
    </row>
    <row r="348" ht="15.75" customHeight="1">
      <c r="G348" s="100"/>
    </row>
    <row r="349" ht="15.75" customHeight="1">
      <c r="G349" s="100"/>
    </row>
    <row r="350" ht="15.75" customHeight="1">
      <c r="G350" s="100"/>
    </row>
    <row r="351" ht="15.75" customHeight="1">
      <c r="G351" s="100"/>
    </row>
    <row r="352" ht="15.75" customHeight="1">
      <c r="G352" s="100"/>
    </row>
    <row r="353" ht="15.75" customHeight="1">
      <c r="G353" s="100"/>
    </row>
    <row r="354" ht="15.75" customHeight="1">
      <c r="G354" s="100"/>
    </row>
    <row r="355" ht="15.75" customHeight="1">
      <c r="G355" s="100"/>
    </row>
    <row r="356" ht="15.75" customHeight="1">
      <c r="G356" s="100"/>
    </row>
    <row r="357" ht="15.75" customHeight="1">
      <c r="G357" s="100"/>
    </row>
    <row r="358" ht="15.75" customHeight="1">
      <c r="G358" s="100"/>
    </row>
    <row r="359" ht="15.75" customHeight="1">
      <c r="G359" s="100"/>
    </row>
    <row r="360" ht="15.75" customHeight="1">
      <c r="G360" s="100"/>
    </row>
    <row r="361" ht="15.75" customHeight="1">
      <c r="G361" s="100"/>
    </row>
    <row r="362" ht="15.75" customHeight="1">
      <c r="G362" s="100"/>
    </row>
    <row r="363" ht="15.75" customHeight="1">
      <c r="G363" s="100"/>
    </row>
    <row r="364" ht="15.75" customHeight="1">
      <c r="G364" s="100"/>
    </row>
    <row r="365" ht="15.75" customHeight="1">
      <c r="G365" s="100"/>
    </row>
    <row r="366" ht="15.75" customHeight="1">
      <c r="G366" s="100"/>
    </row>
    <row r="367" ht="15.75" customHeight="1">
      <c r="G367" s="100"/>
    </row>
    <row r="368" ht="15.75" customHeight="1">
      <c r="G368" s="100"/>
    </row>
    <row r="369" ht="15.75" customHeight="1">
      <c r="G369" s="100"/>
    </row>
    <row r="370" ht="15.75" customHeight="1">
      <c r="G370" s="100"/>
    </row>
    <row r="371" ht="15.75" customHeight="1">
      <c r="G371" s="100"/>
    </row>
    <row r="372" ht="15.75" customHeight="1">
      <c r="G372" s="100"/>
    </row>
    <row r="373" ht="15.75" customHeight="1">
      <c r="G373" s="100"/>
    </row>
    <row r="374" ht="15.75" customHeight="1">
      <c r="G374" s="100"/>
    </row>
    <row r="375" ht="15.75" customHeight="1">
      <c r="G375" s="100"/>
    </row>
    <row r="376" ht="15.75" customHeight="1">
      <c r="G376" s="100"/>
    </row>
    <row r="377" ht="15.75" customHeight="1">
      <c r="G377" s="100"/>
    </row>
    <row r="378" ht="15.75" customHeight="1">
      <c r="G378" s="100"/>
    </row>
    <row r="379" ht="15.75" customHeight="1">
      <c r="G379" s="100"/>
    </row>
    <row r="380" ht="15.75" customHeight="1">
      <c r="G380" s="100"/>
    </row>
    <row r="381" ht="15.75" customHeight="1">
      <c r="G381" s="100"/>
    </row>
    <row r="382" ht="15.75" customHeight="1">
      <c r="G382" s="100"/>
    </row>
    <row r="383" ht="15.75" customHeight="1">
      <c r="G383" s="100"/>
    </row>
    <row r="384" ht="15.75" customHeight="1">
      <c r="G384" s="100"/>
    </row>
    <row r="385" ht="15.75" customHeight="1">
      <c r="G385" s="100"/>
    </row>
    <row r="386" ht="15.75" customHeight="1">
      <c r="G386" s="100"/>
    </row>
    <row r="387" ht="15.75" customHeight="1">
      <c r="G387" s="100"/>
    </row>
    <row r="388" ht="15.75" customHeight="1">
      <c r="G388" s="100"/>
    </row>
    <row r="389" ht="15.75" customHeight="1">
      <c r="G389" s="100"/>
    </row>
    <row r="390" ht="15.75" customHeight="1">
      <c r="G390" s="100"/>
    </row>
    <row r="391" ht="15.75" customHeight="1">
      <c r="G391" s="100"/>
    </row>
    <row r="392" ht="15.75" customHeight="1">
      <c r="G392" s="100"/>
    </row>
    <row r="393" ht="15.75" customHeight="1">
      <c r="G393" s="100"/>
    </row>
    <row r="394" ht="15.75" customHeight="1">
      <c r="G394" s="100"/>
    </row>
    <row r="395" ht="15.75" customHeight="1">
      <c r="G395" s="100"/>
    </row>
    <row r="396" ht="15.75" customHeight="1">
      <c r="G396" s="100"/>
    </row>
    <row r="397" ht="15.75" customHeight="1">
      <c r="G397" s="100"/>
    </row>
    <row r="398" ht="15.75" customHeight="1">
      <c r="G398" s="100"/>
    </row>
    <row r="399" ht="15.75" customHeight="1">
      <c r="G399" s="100"/>
    </row>
    <row r="400" ht="15.75" customHeight="1">
      <c r="G400" s="100"/>
    </row>
    <row r="401" ht="15.75" customHeight="1">
      <c r="G401" s="100"/>
    </row>
    <row r="402" ht="15.75" customHeight="1">
      <c r="G402" s="100"/>
    </row>
    <row r="403" ht="15.75" customHeight="1">
      <c r="G403" s="100"/>
    </row>
    <row r="404" ht="15.75" customHeight="1">
      <c r="G404" s="100"/>
    </row>
    <row r="405" ht="15.75" customHeight="1">
      <c r="G405" s="100"/>
    </row>
    <row r="406" ht="15.75" customHeight="1">
      <c r="G406" s="100"/>
    </row>
    <row r="407" ht="15.75" customHeight="1">
      <c r="G407" s="100"/>
    </row>
    <row r="408" ht="15.75" customHeight="1">
      <c r="G408" s="100"/>
    </row>
    <row r="409" ht="15.75" customHeight="1">
      <c r="G409" s="100"/>
    </row>
    <row r="410" ht="15.75" customHeight="1">
      <c r="G410" s="100"/>
    </row>
    <row r="411" ht="15.75" customHeight="1">
      <c r="G411" s="100"/>
    </row>
    <row r="412" ht="15.75" customHeight="1">
      <c r="G412" s="100"/>
    </row>
    <row r="413" ht="15.75" customHeight="1">
      <c r="G413" s="100"/>
    </row>
    <row r="414" ht="15.75" customHeight="1">
      <c r="G414" s="100"/>
    </row>
    <row r="415" ht="15.75" customHeight="1">
      <c r="G415" s="100"/>
    </row>
    <row r="416" ht="15.75" customHeight="1">
      <c r="G416" s="100"/>
    </row>
    <row r="417" ht="15.75" customHeight="1">
      <c r="G417" s="100"/>
    </row>
    <row r="418" ht="15.75" customHeight="1">
      <c r="G418" s="100"/>
    </row>
    <row r="419" ht="15.75" customHeight="1">
      <c r="G419" s="100"/>
    </row>
    <row r="420" ht="15.75" customHeight="1">
      <c r="G420" s="100"/>
    </row>
    <row r="421" ht="15.75" customHeight="1">
      <c r="G421" s="100"/>
    </row>
    <row r="422" ht="15.75" customHeight="1">
      <c r="G422" s="100"/>
    </row>
    <row r="423" ht="15.75" customHeight="1">
      <c r="G423" s="100"/>
    </row>
    <row r="424" ht="15.75" customHeight="1">
      <c r="G424" s="100"/>
    </row>
    <row r="425" ht="15.75" customHeight="1">
      <c r="G425" s="100"/>
    </row>
    <row r="426" ht="15.75" customHeight="1">
      <c r="G426" s="100"/>
    </row>
    <row r="427" ht="15.75" customHeight="1">
      <c r="G427" s="100"/>
    </row>
    <row r="428" ht="15.75" customHeight="1">
      <c r="G428" s="100"/>
    </row>
    <row r="429" ht="15.75" customHeight="1">
      <c r="G429" s="100"/>
    </row>
    <row r="430" ht="15.75" customHeight="1">
      <c r="G430" s="100"/>
    </row>
    <row r="431" ht="15.75" customHeight="1">
      <c r="G431" s="100"/>
    </row>
    <row r="432" ht="15.75" customHeight="1">
      <c r="G432" s="100"/>
    </row>
    <row r="433" ht="15.75" customHeight="1">
      <c r="G433" s="100"/>
    </row>
    <row r="434" ht="15.75" customHeight="1">
      <c r="G434" s="100"/>
    </row>
    <row r="435" ht="15.75" customHeight="1">
      <c r="G435" s="100"/>
    </row>
    <row r="436" ht="15.75" customHeight="1">
      <c r="G436" s="100"/>
    </row>
    <row r="437" ht="15.75" customHeight="1">
      <c r="G437" s="100"/>
    </row>
    <row r="438" ht="15.75" customHeight="1">
      <c r="G438" s="100"/>
    </row>
    <row r="439" ht="15.75" customHeight="1">
      <c r="G439" s="100"/>
    </row>
    <row r="440" ht="15.75" customHeight="1">
      <c r="G440" s="100"/>
    </row>
    <row r="441" ht="15.75" customHeight="1">
      <c r="G441" s="100"/>
    </row>
    <row r="442" ht="15.75" customHeight="1">
      <c r="G442" s="100"/>
    </row>
    <row r="443" ht="15.75" customHeight="1">
      <c r="G443" s="100"/>
    </row>
    <row r="444" ht="15.75" customHeight="1">
      <c r="G444" s="100"/>
    </row>
    <row r="445" ht="15.75" customHeight="1">
      <c r="G445" s="100"/>
    </row>
    <row r="446" ht="15.75" customHeight="1">
      <c r="G446" s="100"/>
    </row>
    <row r="447" ht="15.75" customHeight="1">
      <c r="G447" s="100"/>
    </row>
    <row r="448" ht="15.75" customHeight="1">
      <c r="G448" s="100"/>
    </row>
    <row r="449" ht="15.75" customHeight="1">
      <c r="G449" s="100"/>
    </row>
    <row r="450" ht="15.75" customHeight="1">
      <c r="G450" s="100"/>
    </row>
    <row r="451" ht="15.75" customHeight="1">
      <c r="G451" s="100"/>
    </row>
    <row r="452" ht="15.75" customHeight="1">
      <c r="G452" s="100"/>
    </row>
    <row r="453" ht="15.75" customHeight="1">
      <c r="G453" s="100"/>
    </row>
    <row r="454" ht="15.75" customHeight="1">
      <c r="G454" s="100"/>
    </row>
    <row r="455" ht="15.75" customHeight="1">
      <c r="G455" s="100"/>
    </row>
    <row r="456" ht="15.75" customHeight="1">
      <c r="G456" s="100"/>
    </row>
    <row r="457" ht="15.75" customHeight="1">
      <c r="G457" s="100"/>
    </row>
    <row r="458" ht="15.75" customHeight="1">
      <c r="G458" s="100"/>
    </row>
    <row r="459" ht="15.75" customHeight="1">
      <c r="G459" s="100"/>
    </row>
    <row r="460" ht="15.75" customHeight="1">
      <c r="G460" s="100"/>
    </row>
    <row r="461" ht="15.75" customHeight="1">
      <c r="G461" s="100"/>
    </row>
    <row r="462" ht="15.75" customHeight="1">
      <c r="G462" s="100"/>
    </row>
    <row r="463" ht="15.75" customHeight="1">
      <c r="G463" s="100"/>
    </row>
    <row r="464" ht="15.75" customHeight="1">
      <c r="G464" s="100"/>
    </row>
    <row r="465" ht="15.75" customHeight="1">
      <c r="G465" s="100"/>
    </row>
    <row r="466" ht="15.75" customHeight="1">
      <c r="G466" s="100"/>
    </row>
    <row r="467" ht="15.75" customHeight="1">
      <c r="G467" s="100"/>
    </row>
    <row r="468" ht="15.75" customHeight="1">
      <c r="G468" s="100"/>
    </row>
    <row r="469" ht="15.75" customHeight="1">
      <c r="G469" s="100"/>
    </row>
    <row r="470" ht="15.75" customHeight="1">
      <c r="G470" s="100"/>
    </row>
    <row r="471" ht="15.75" customHeight="1">
      <c r="G471" s="100"/>
    </row>
    <row r="472" ht="15.75" customHeight="1">
      <c r="G472" s="100"/>
    </row>
    <row r="473" ht="15.75" customHeight="1">
      <c r="G473" s="100"/>
    </row>
    <row r="474" ht="15.75" customHeight="1">
      <c r="G474" s="100"/>
    </row>
    <row r="475" ht="15.75" customHeight="1">
      <c r="G475" s="100"/>
    </row>
    <row r="476" ht="15.75" customHeight="1">
      <c r="G476" s="100"/>
    </row>
    <row r="477" ht="15.75" customHeight="1">
      <c r="G477" s="100"/>
    </row>
    <row r="478" ht="15.75" customHeight="1">
      <c r="G478" s="100"/>
    </row>
    <row r="479" ht="15.75" customHeight="1">
      <c r="G479" s="100"/>
    </row>
    <row r="480" ht="15.75" customHeight="1">
      <c r="G480" s="100"/>
    </row>
    <row r="481" ht="15.75" customHeight="1">
      <c r="G481" s="100"/>
    </row>
    <row r="482" ht="15.75" customHeight="1">
      <c r="G482" s="100"/>
    </row>
    <row r="483" ht="15.75" customHeight="1">
      <c r="G483" s="100"/>
    </row>
    <row r="484" ht="15.75" customHeight="1">
      <c r="G484" s="100"/>
    </row>
    <row r="485" ht="15.75" customHeight="1">
      <c r="G485" s="100"/>
    </row>
    <row r="486" ht="15.75" customHeight="1">
      <c r="G486" s="100"/>
    </row>
    <row r="487" ht="15.75" customHeight="1">
      <c r="G487" s="100"/>
    </row>
    <row r="488" ht="15.75" customHeight="1">
      <c r="G488" s="100"/>
    </row>
    <row r="489" ht="15.75" customHeight="1">
      <c r="G489" s="100"/>
    </row>
    <row r="490" ht="15.75" customHeight="1">
      <c r="G490" s="100"/>
    </row>
    <row r="491" ht="15.75" customHeight="1">
      <c r="G491" s="100"/>
    </row>
    <row r="492" ht="15.75" customHeight="1">
      <c r="G492" s="100"/>
    </row>
    <row r="493" ht="15.75" customHeight="1">
      <c r="G493" s="100"/>
    </row>
    <row r="494" ht="15.75" customHeight="1">
      <c r="G494" s="100"/>
    </row>
    <row r="495" ht="15.75" customHeight="1">
      <c r="G495" s="100"/>
    </row>
    <row r="496" ht="15.75" customHeight="1">
      <c r="G496" s="100"/>
    </row>
    <row r="497" ht="15.75" customHeight="1">
      <c r="G497" s="100"/>
    </row>
    <row r="498" ht="15.75" customHeight="1">
      <c r="G498" s="100"/>
    </row>
    <row r="499" ht="15.75" customHeight="1">
      <c r="G499" s="100"/>
    </row>
    <row r="500" ht="15.75" customHeight="1">
      <c r="G500" s="100"/>
    </row>
    <row r="501" ht="15.75" customHeight="1">
      <c r="G501" s="100"/>
    </row>
    <row r="502" ht="15.75" customHeight="1">
      <c r="G502" s="100"/>
    </row>
    <row r="503" ht="15.75" customHeight="1">
      <c r="G503" s="100"/>
    </row>
    <row r="504" ht="15.75" customHeight="1">
      <c r="G504" s="100"/>
    </row>
    <row r="505" ht="15.75" customHeight="1">
      <c r="G505" s="100"/>
    </row>
    <row r="506" ht="15.75" customHeight="1">
      <c r="G506" s="100"/>
    </row>
    <row r="507" ht="15.75" customHeight="1">
      <c r="G507" s="100"/>
    </row>
    <row r="508" ht="15.75" customHeight="1">
      <c r="G508" s="100"/>
    </row>
    <row r="509" ht="15.75" customHeight="1">
      <c r="G509" s="100"/>
    </row>
    <row r="510" ht="15.75" customHeight="1">
      <c r="G510" s="100"/>
    </row>
    <row r="511" ht="15.75" customHeight="1">
      <c r="G511" s="100"/>
    </row>
    <row r="512" ht="15.75" customHeight="1">
      <c r="G512" s="100"/>
    </row>
    <row r="513" ht="15.75" customHeight="1">
      <c r="G513" s="100"/>
    </row>
    <row r="514" ht="15.75" customHeight="1">
      <c r="G514" s="100"/>
    </row>
    <row r="515" ht="15.75" customHeight="1">
      <c r="G515" s="100"/>
    </row>
    <row r="516" ht="15.75" customHeight="1">
      <c r="G516" s="100"/>
    </row>
    <row r="517" ht="15.75" customHeight="1">
      <c r="G517" s="100"/>
    </row>
    <row r="518" ht="15.75" customHeight="1">
      <c r="G518" s="100"/>
    </row>
    <row r="519" ht="15.75" customHeight="1">
      <c r="G519" s="100"/>
    </row>
    <row r="520" ht="15.75" customHeight="1">
      <c r="G520" s="100"/>
    </row>
    <row r="521" ht="15.75" customHeight="1">
      <c r="G521" s="100"/>
    </row>
    <row r="522" ht="15.75" customHeight="1">
      <c r="G522" s="100"/>
    </row>
    <row r="523" ht="15.75" customHeight="1">
      <c r="G523" s="100"/>
    </row>
    <row r="524" ht="15.75" customHeight="1">
      <c r="G524" s="100"/>
    </row>
    <row r="525" ht="15.75" customHeight="1">
      <c r="G525" s="100"/>
    </row>
    <row r="526" ht="15.75" customHeight="1">
      <c r="G526" s="100"/>
    </row>
    <row r="527" ht="15.75" customHeight="1">
      <c r="G527" s="100"/>
    </row>
    <row r="528" ht="15.75" customHeight="1">
      <c r="G528" s="100"/>
    </row>
    <row r="529" ht="15.75" customHeight="1">
      <c r="G529" s="100"/>
    </row>
    <row r="530" ht="15.75" customHeight="1">
      <c r="G530" s="100"/>
    </row>
    <row r="531" ht="15.75" customHeight="1">
      <c r="G531" s="100"/>
    </row>
    <row r="532" ht="15.75" customHeight="1">
      <c r="G532" s="100"/>
    </row>
    <row r="533" ht="15.75" customHeight="1">
      <c r="G533" s="100"/>
    </row>
    <row r="534" ht="15.75" customHeight="1">
      <c r="G534" s="100"/>
    </row>
    <row r="535" ht="15.75" customHeight="1">
      <c r="G535" s="100"/>
    </row>
    <row r="536" ht="15.75" customHeight="1">
      <c r="G536" s="100"/>
    </row>
    <row r="537" ht="15.75" customHeight="1">
      <c r="G537" s="100"/>
    </row>
    <row r="538" ht="15.75" customHeight="1">
      <c r="G538" s="100"/>
    </row>
    <row r="539" ht="15.75" customHeight="1">
      <c r="G539" s="100"/>
    </row>
    <row r="540" ht="15.75" customHeight="1">
      <c r="G540" s="100"/>
    </row>
    <row r="541" ht="15.75" customHeight="1">
      <c r="G541" s="100"/>
    </row>
    <row r="542" ht="15.75" customHeight="1">
      <c r="G542" s="100"/>
    </row>
    <row r="543" ht="15.75" customHeight="1">
      <c r="G543" s="100"/>
    </row>
    <row r="544" ht="15.75" customHeight="1">
      <c r="G544" s="100"/>
    </row>
    <row r="545" ht="15.75" customHeight="1">
      <c r="G545" s="100"/>
    </row>
    <row r="546" ht="15.75" customHeight="1">
      <c r="G546" s="100"/>
    </row>
    <row r="547" ht="15.75" customHeight="1">
      <c r="G547" s="100"/>
    </row>
    <row r="548" ht="15.75" customHeight="1">
      <c r="G548" s="100"/>
    </row>
    <row r="549" ht="15.75" customHeight="1">
      <c r="G549" s="100"/>
    </row>
    <row r="550" ht="15.75" customHeight="1">
      <c r="G550" s="100"/>
    </row>
    <row r="551" ht="15.75" customHeight="1">
      <c r="G551" s="100"/>
    </row>
    <row r="552" ht="15.75" customHeight="1">
      <c r="G552" s="100"/>
    </row>
    <row r="553" ht="15.75" customHeight="1">
      <c r="G553" s="100"/>
    </row>
    <row r="554" ht="15.75" customHeight="1">
      <c r="G554" s="100"/>
    </row>
    <row r="555" ht="15.75" customHeight="1">
      <c r="G555" s="100"/>
    </row>
    <row r="556" ht="15.75" customHeight="1">
      <c r="G556" s="100"/>
    </row>
    <row r="557" ht="15.75" customHeight="1">
      <c r="G557" s="100"/>
    </row>
    <row r="558" ht="15.75" customHeight="1">
      <c r="G558" s="100"/>
    </row>
    <row r="559" ht="15.75" customHeight="1">
      <c r="G559" s="100"/>
    </row>
    <row r="560" ht="15.75" customHeight="1">
      <c r="G560" s="100"/>
    </row>
    <row r="561" ht="15.75" customHeight="1">
      <c r="G561" s="100"/>
    </row>
    <row r="562" ht="15.75" customHeight="1">
      <c r="G562" s="100"/>
    </row>
    <row r="563" ht="15.75" customHeight="1">
      <c r="G563" s="100"/>
    </row>
    <row r="564" ht="15.75" customHeight="1">
      <c r="G564" s="100"/>
    </row>
    <row r="565" ht="15.75" customHeight="1">
      <c r="G565" s="100"/>
    </row>
    <row r="566" ht="15.75" customHeight="1">
      <c r="G566" s="100"/>
    </row>
    <row r="567" ht="15.75" customHeight="1">
      <c r="G567" s="100"/>
    </row>
    <row r="568" ht="15.75" customHeight="1">
      <c r="G568" s="100"/>
    </row>
    <row r="569" ht="15.75" customHeight="1">
      <c r="G569" s="100"/>
    </row>
    <row r="570" ht="15.75" customHeight="1">
      <c r="G570" s="100"/>
    </row>
    <row r="571" ht="15.75" customHeight="1">
      <c r="G571" s="100"/>
    </row>
    <row r="572" ht="15.75" customHeight="1">
      <c r="G572" s="100"/>
    </row>
    <row r="573" ht="15.75" customHeight="1">
      <c r="G573" s="100"/>
    </row>
    <row r="574" ht="15.75" customHeight="1">
      <c r="G574" s="100"/>
    </row>
    <row r="575" ht="15.75" customHeight="1">
      <c r="G575" s="100"/>
    </row>
    <row r="576" ht="15.75" customHeight="1">
      <c r="G576" s="100"/>
    </row>
    <row r="577" ht="15.75" customHeight="1">
      <c r="G577" s="100"/>
    </row>
    <row r="578" ht="15.75" customHeight="1">
      <c r="G578" s="100"/>
    </row>
    <row r="579" ht="15.75" customHeight="1">
      <c r="G579" s="100"/>
    </row>
    <row r="580" ht="15.75" customHeight="1">
      <c r="G580" s="100"/>
    </row>
    <row r="581" ht="15.75" customHeight="1">
      <c r="G581" s="100"/>
    </row>
    <row r="582" ht="15.75" customHeight="1">
      <c r="G582" s="100"/>
    </row>
    <row r="583" ht="15.75" customHeight="1">
      <c r="G583" s="100"/>
    </row>
    <row r="584" ht="15.75" customHeight="1">
      <c r="G584" s="100"/>
    </row>
    <row r="585" ht="15.75" customHeight="1">
      <c r="G585" s="100"/>
    </row>
    <row r="586" ht="15.75" customHeight="1">
      <c r="G586" s="100"/>
    </row>
    <row r="587" ht="15.75" customHeight="1">
      <c r="G587" s="100"/>
    </row>
    <row r="588" ht="15.75" customHeight="1">
      <c r="G588" s="100"/>
    </row>
    <row r="589" ht="15.75" customHeight="1">
      <c r="G589" s="100"/>
    </row>
    <row r="590" ht="15.75" customHeight="1">
      <c r="G590" s="100"/>
    </row>
    <row r="591" ht="15.75" customHeight="1">
      <c r="G591" s="100"/>
    </row>
    <row r="592" ht="15.75" customHeight="1">
      <c r="G592" s="100"/>
    </row>
    <row r="593" ht="15.75" customHeight="1">
      <c r="G593" s="100"/>
    </row>
    <row r="594" ht="15.75" customHeight="1">
      <c r="G594" s="100"/>
    </row>
    <row r="595" ht="15.75" customHeight="1">
      <c r="G595" s="100"/>
    </row>
    <row r="596" ht="15.75" customHeight="1">
      <c r="G596" s="100"/>
    </row>
    <row r="597" ht="15.75" customHeight="1">
      <c r="G597" s="100"/>
    </row>
    <row r="598" ht="15.75" customHeight="1">
      <c r="G598" s="100"/>
    </row>
    <row r="599" ht="15.75" customHeight="1">
      <c r="G599" s="100"/>
    </row>
    <row r="600" ht="15.75" customHeight="1">
      <c r="G600" s="100"/>
    </row>
    <row r="601" ht="15.75" customHeight="1">
      <c r="G601" s="100"/>
    </row>
    <row r="602" ht="15.75" customHeight="1">
      <c r="G602" s="100"/>
    </row>
    <row r="603" ht="15.75" customHeight="1">
      <c r="G603" s="100"/>
    </row>
    <row r="604" ht="15.75" customHeight="1">
      <c r="G604" s="100"/>
    </row>
    <row r="605" ht="15.75" customHeight="1">
      <c r="G605" s="100"/>
    </row>
    <row r="606" ht="15.75" customHeight="1">
      <c r="G606" s="100"/>
    </row>
    <row r="607" ht="15.75" customHeight="1">
      <c r="G607" s="100"/>
    </row>
    <row r="608" ht="15.75" customHeight="1">
      <c r="G608" s="100"/>
    </row>
    <row r="609" ht="15.75" customHeight="1">
      <c r="G609" s="100"/>
    </row>
    <row r="610" ht="15.75" customHeight="1">
      <c r="G610" s="100"/>
    </row>
    <row r="611" ht="15.75" customHeight="1">
      <c r="G611" s="100"/>
    </row>
    <row r="612" ht="15.75" customHeight="1">
      <c r="G612" s="100"/>
    </row>
    <row r="613" ht="15.75" customHeight="1">
      <c r="G613" s="100"/>
    </row>
    <row r="614" ht="15.75" customHeight="1">
      <c r="G614" s="100"/>
    </row>
    <row r="615" ht="15.75" customHeight="1">
      <c r="G615" s="100"/>
    </row>
    <row r="616" ht="15.75" customHeight="1">
      <c r="G616" s="100"/>
    </row>
    <row r="617" ht="15.75" customHeight="1">
      <c r="G617" s="100"/>
    </row>
    <row r="618" ht="15.75" customHeight="1">
      <c r="G618" s="100"/>
    </row>
    <row r="619" ht="15.75" customHeight="1">
      <c r="G619" s="100"/>
    </row>
    <row r="620" ht="15.75" customHeight="1">
      <c r="G620" s="100"/>
    </row>
    <row r="621" ht="15.75" customHeight="1">
      <c r="G621" s="100"/>
    </row>
    <row r="622" ht="15.75" customHeight="1">
      <c r="G622" s="100"/>
    </row>
    <row r="623" ht="15.75" customHeight="1">
      <c r="G623" s="100"/>
    </row>
    <row r="624" ht="15.75" customHeight="1">
      <c r="G624" s="100"/>
    </row>
    <row r="625" ht="15.75" customHeight="1">
      <c r="G625" s="100"/>
    </row>
    <row r="626" ht="15.75" customHeight="1">
      <c r="G626" s="100"/>
    </row>
    <row r="627" ht="15.75" customHeight="1">
      <c r="G627" s="100"/>
    </row>
    <row r="628" ht="15.75" customHeight="1">
      <c r="G628" s="100"/>
    </row>
    <row r="629" ht="15.75" customHeight="1">
      <c r="G629" s="100"/>
    </row>
    <row r="630" ht="15.75" customHeight="1">
      <c r="G630" s="100"/>
    </row>
    <row r="631" ht="15.75" customHeight="1">
      <c r="G631" s="100"/>
    </row>
    <row r="632" ht="15.75" customHeight="1">
      <c r="G632" s="100"/>
    </row>
    <row r="633" ht="15.75" customHeight="1">
      <c r="G633" s="100"/>
    </row>
    <row r="634" ht="15.75" customHeight="1">
      <c r="G634" s="100"/>
    </row>
    <row r="635" ht="15.75" customHeight="1">
      <c r="G635" s="100"/>
    </row>
    <row r="636" ht="15.75" customHeight="1">
      <c r="G636" s="100"/>
    </row>
    <row r="637" ht="15.75" customHeight="1">
      <c r="G637" s="100"/>
    </row>
    <row r="638" ht="15.75" customHeight="1">
      <c r="G638" s="100"/>
    </row>
    <row r="639" ht="15.75" customHeight="1">
      <c r="G639" s="100"/>
    </row>
    <row r="640" ht="15.75" customHeight="1">
      <c r="G640" s="100"/>
    </row>
    <row r="641" ht="15.75" customHeight="1">
      <c r="G641" s="100"/>
    </row>
    <row r="642" ht="15.75" customHeight="1">
      <c r="G642" s="100"/>
    </row>
    <row r="643" ht="15.75" customHeight="1">
      <c r="G643" s="100"/>
    </row>
    <row r="644" ht="15.75" customHeight="1">
      <c r="G644" s="100"/>
    </row>
    <row r="645" ht="15.75" customHeight="1">
      <c r="G645" s="100"/>
    </row>
    <row r="646" ht="15.75" customHeight="1">
      <c r="G646" s="100"/>
    </row>
    <row r="647" ht="15.75" customHeight="1">
      <c r="G647" s="100"/>
    </row>
    <row r="648" ht="15.75" customHeight="1">
      <c r="G648" s="100"/>
    </row>
    <row r="649" ht="15.75" customHeight="1">
      <c r="G649" s="100"/>
    </row>
    <row r="650" ht="15.75" customHeight="1">
      <c r="G650" s="100"/>
    </row>
    <row r="651" ht="15.75" customHeight="1">
      <c r="G651" s="100"/>
    </row>
    <row r="652" ht="15.75" customHeight="1">
      <c r="G652" s="100"/>
    </row>
    <row r="653" ht="15.75" customHeight="1">
      <c r="G653" s="100"/>
    </row>
    <row r="654" ht="15.75" customHeight="1">
      <c r="G654" s="100"/>
    </row>
    <row r="655" ht="15.75" customHeight="1">
      <c r="G655" s="100"/>
    </row>
    <row r="656" ht="15.75" customHeight="1">
      <c r="G656" s="100"/>
    </row>
    <row r="657" ht="15.75" customHeight="1">
      <c r="G657" s="100"/>
    </row>
    <row r="658" ht="15.75" customHeight="1">
      <c r="G658" s="100"/>
    </row>
    <row r="659" ht="15.75" customHeight="1">
      <c r="G659" s="100"/>
    </row>
    <row r="660" ht="15.75" customHeight="1">
      <c r="G660" s="100"/>
    </row>
    <row r="661" ht="15.75" customHeight="1">
      <c r="G661" s="100"/>
    </row>
    <row r="662" ht="15.75" customHeight="1">
      <c r="G662" s="100"/>
    </row>
    <row r="663" ht="15.75" customHeight="1">
      <c r="G663" s="100"/>
    </row>
    <row r="664" ht="15.75" customHeight="1">
      <c r="G664" s="100"/>
    </row>
    <row r="665" ht="15.75" customHeight="1">
      <c r="G665" s="100"/>
    </row>
    <row r="666" ht="15.75" customHeight="1">
      <c r="G666" s="100"/>
    </row>
    <row r="667" ht="15.75" customHeight="1">
      <c r="G667" s="100"/>
    </row>
    <row r="668" ht="15.75" customHeight="1">
      <c r="G668" s="100"/>
    </row>
    <row r="669" ht="15.75" customHeight="1">
      <c r="G669" s="100"/>
    </row>
    <row r="670" ht="15.75" customHeight="1">
      <c r="G670" s="100"/>
    </row>
    <row r="671" ht="15.75" customHeight="1">
      <c r="G671" s="100"/>
    </row>
    <row r="672" ht="15.75" customHeight="1">
      <c r="G672" s="100"/>
    </row>
    <row r="673" ht="15.75" customHeight="1">
      <c r="G673" s="100"/>
    </row>
    <row r="674" ht="15.75" customHeight="1">
      <c r="G674" s="100"/>
    </row>
    <row r="675" ht="15.75" customHeight="1">
      <c r="G675" s="100"/>
    </row>
    <row r="676" ht="15.75" customHeight="1">
      <c r="G676" s="100"/>
    </row>
    <row r="677" ht="15.75" customHeight="1">
      <c r="G677" s="100"/>
    </row>
    <row r="678" ht="15.75" customHeight="1">
      <c r="G678" s="100"/>
    </row>
    <row r="679" ht="15.75" customHeight="1">
      <c r="G679" s="100"/>
    </row>
    <row r="680" ht="15.75" customHeight="1">
      <c r="G680" s="100"/>
    </row>
    <row r="681" ht="15.75" customHeight="1">
      <c r="G681" s="100"/>
    </row>
    <row r="682" ht="15.75" customHeight="1">
      <c r="G682" s="100"/>
    </row>
    <row r="683" ht="15.75" customHeight="1">
      <c r="G683" s="100"/>
    </row>
    <row r="684" ht="15.75" customHeight="1">
      <c r="G684" s="100"/>
    </row>
    <row r="685" ht="15.75" customHeight="1">
      <c r="G685" s="100"/>
    </row>
    <row r="686" ht="15.75" customHeight="1">
      <c r="G686" s="100"/>
    </row>
    <row r="687" ht="15.75" customHeight="1">
      <c r="G687" s="100"/>
    </row>
    <row r="688" ht="15.75" customHeight="1">
      <c r="G688" s="100"/>
    </row>
    <row r="689" ht="15.75" customHeight="1">
      <c r="G689" s="100"/>
    </row>
    <row r="690" ht="15.75" customHeight="1">
      <c r="G690" s="100"/>
    </row>
    <row r="691" ht="15.75" customHeight="1">
      <c r="G691" s="100"/>
    </row>
    <row r="692" ht="15.75" customHeight="1">
      <c r="G692" s="100"/>
    </row>
    <row r="693" ht="15.75" customHeight="1">
      <c r="G693" s="100"/>
    </row>
    <row r="694" ht="15.75" customHeight="1">
      <c r="G694" s="100"/>
    </row>
    <row r="695" ht="15.75" customHeight="1">
      <c r="G695" s="100"/>
    </row>
    <row r="696" ht="15.75" customHeight="1">
      <c r="G696" s="100"/>
    </row>
    <row r="697" ht="15.75" customHeight="1">
      <c r="G697" s="100"/>
    </row>
    <row r="698" ht="15.75" customHeight="1">
      <c r="G698" s="100"/>
    </row>
    <row r="699" ht="15.75" customHeight="1">
      <c r="G699" s="100"/>
    </row>
    <row r="700" ht="15.75" customHeight="1">
      <c r="G700" s="100"/>
    </row>
    <row r="701" ht="15.75" customHeight="1">
      <c r="G701" s="100"/>
    </row>
    <row r="702" ht="15.75" customHeight="1">
      <c r="G702" s="100"/>
    </row>
    <row r="703" ht="15.75" customHeight="1">
      <c r="G703" s="100"/>
    </row>
    <row r="704" ht="15.75" customHeight="1">
      <c r="G704" s="100"/>
    </row>
    <row r="705" ht="15.75" customHeight="1">
      <c r="G705" s="100"/>
    </row>
    <row r="706" ht="15.75" customHeight="1">
      <c r="G706" s="100"/>
    </row>
    <row r="707" ht="15.75" customHeight="1">
      <c r="G707" s="100"/>
    </row>
    <row r="708" ht="15.75" customHeight="1">
      <c r="G708" s="100"/>
    </row>
    <row r="709" ht="15.75" customHeight="1">
      <c r="G709" s="100"/>
    </row>
    <row r="710" ht="15.75" customHeight="1">
      <c r="G710" s="100"/>
    </row>
    <row r="711" ht="15.75" customHeight="1">
      <c r="G711" s="100"/>
    </row>
    <row r="712" ht="15.75" customHeight="1">
      <c r="G712" s="100"/>
    </row>
    <row r="713" ht="15.75" customHeight="1">
      <c r="G713" s="100"/>
    </row>
    <row r="714" ht="15.75" customHeight="1">
      <c r="G714" s="100"/>
    </row>
    <row r="715" ht="15.75" customHeight="1">
      <c r="G715" s="100"/>
    </row>
    <row r="716" ht="15.75" customHeight="1">
      <c r="G716" s="100"/>
    </row>
    <row r="717" ht="15.75" customHeight="1">
      <c r="G717" s="100"/>
    </row>
    <row r="718" ht="15.75" customHeight="1">
      <c r="G718" s="100"/>
    </row>
    <row r="719" ht="15.75" customHeight="1">
      <c r="G719" s="100"/>
    </row>
    <row r="720" ht="15.75" customHeight="1">
      <c r="G720" s="100"/>
    </row>
    <row r="721" ht="15.75" customHeight="1">
      <c r="G721" s="100"/>
    </row>
    <row r="722" ht="15.75" customHeight="1">
      <c r="G722" s="100"/>
    </row>
    <row r="723" ht="15.75" customHeight="1">
      <c r="G723" s="100"/>
    </row>
    <row r="724" ht="15.75" customHeight="1">
      <c r="G724" s="100"/>
    </row>
    <row r="725" ht="15.75" customHeight="1">
      <c r="G725" s="100"/>
    </row>
    <row r="726" ht="15.75" customHeight="1">
      <c r="G726" s="100"/>
    </row>
    <row r="727" ht="15.75" customHeight="1">
      <c r="G727" s="100"/>
    </row>
    <row r="728" ht="15.75" customHeight="1">
      <c r="G728" s="100"/>
    </row>
    <row r="729" ht="15.75" customHeight="1">
      <c r="G729" s="100"/>
    </row>
    <row r="730" ht="15.75" customHeight="1">
      <c r="G730" s="100"/>
    </row>
    <row r="731" ht="15.75" customHeight="1">
      <c r="G731" s="100"/>
    </row>
    <row r="732" ht="15.75" customHeight="1">
      <c r="G732" s="100"/>
    </row>
    <row r="733" ht="15.75" customHeight="1">
      <c r="G733" s="100"/>
    </row>
    <row r="734" ht="15.75" customHeight="1">
      <c r="G734" s="100"/>
    </row>
    <row r="735" ht="15.75" customHeight="1">
      <c r="G735" s="100"/>
    </row>
    <row r="736" ht="15.75" customHeight="1">
      <c r="G736" s="100"/>
    </row>
    <row r="737" ht="15.75" customHeight="1">
      <c r="G737" s="100"/>
    </row>
    <row r="738" ht="15.75" customHeight="1">
      <c r="G738" s="100"/>
    </row>
    <row r="739" ht="15.75" customHeight="1">
      <c r="G739" s="100"/>
    </row>
    <row r="740" ht="15.75" customHeight="1">
      <c r="G740" s="100"/>
    </row>
    <row r="741" ht="15.75" customHeight="1">
      <c r="G741" s="100"/>
    </row>
    <row r="742" ht="15.75" customHeight="1">
      <c r="G742" s="100"/>
    </row>
    <row r="743" ht="15.75" customHeight="1">
      <c r="G743" s="100"/>
    </row>
    <row r="744" ht="15.75" customHeight="1">
      <c r="G744" s="100"/>
    </row>
    <row r="745" ht="15.75" customHeight="1">
      <c r="G745" s="100"/>
    </row>
    <row r="746" ht="15.75" customHeight="1">
      <c r="G746" s="100"/>
    </row>
    <row r="747" ht="15.75" customHeight="1">
      <c r="G747" s="100"/>
    </row>
    <row r="748" ht="15.75" customHeight="1">
      <c r="G748" s="100"/>
    </row>
    <row r="749" ht="15.75" customHeight="1">
      <c r="G749" s="100"/>
    </row>
    <row r="750" ht="15.75" customHeight="1">
      <c r="G750" s="100"/>
    </row>
    <row r="751" ht="15.75" customHeight="1">
      <c r="G751" s="100"/>
    </row>
    <row r="752" ht="15.75" customHeight="1">
      <c r="G752" s="100"/>
    </row>
    <row r="753" ht="15.75" customHeight="1">
      <c r="G753" s="100"/>
    </row>
    <row r="754" ht="15.75" customHeight="1">
      <c r="G754" s="100"/>
    </row>
    <row r="755" ht="15.75" customHeight="1">
      <c r="G755" s="100"/>
    </row>
    <row r="756" ht="15.75" customHeight="1">
      <c r="G756" s="100"/>
    </row>
    <row r="757" ht="15.75" customHeight="1">
      <c r="G757" s="100"/>
    </row>
    <row r="758" ht="15.75" customHeight="1">
      <c r="G758" s="100"/>
    </row>
    <row r="759" ht="15.75" customHeight="1">
      <c r="G759" s="100"/>
    </row>
    <row r="760" ht="15.75" customHeight="1">
      <c r="G760" s="100"/>
    </row>
    <row r="761" ht="15.75" customHeight="1">
      <c r="G761" s="100"/>
    </row>
    <row r="762" ht="15.75" customHeight="1">
      <c r="G762" s="100"/>
    </row>
    <row r="763" ht="15.75" customHeight="1">
      <c r="G763" s="100"/>
    </row>
    <row r="764" ht="15.75" customHeight="1">
      <c r="G764" s="100"/>
    </row>
    <row r="765" ht="15.75" customHeight="1">
      <c r="G765" s="100"/>
    </row>
    <row r="766" ht="15.75" customHeight="1">
      <c r="G766" s="100"/>
    </row>
    <row r="767" ht="15.75" customHeight="1">
      <c r="G767" s="100"/>
    </row>
    <row r="768" ht="15.75" customHeight="1">
      <c r="G768" s="100"/>
    </row>
    <row r="769" ht="15.75" customHeight="1">
      <c r="G769" s="100"/>
    </row>
    <row r="770" ht="15.75" customHeight="1">
      <c r="G770" s="100"/>
    </row>
    <row r="771" ht="15.75" customHeight="1">
      <c r="G771" s="100"/>
    </row>
    <row r="772" ht="15.75" customHeight="1">
      <c r="G772" s="100"/>
    </row>
    <row r="773" ht="15.75" customHeight="1">
      <c r="G773" s="100"/>
    </row>
    <row r="774" ht="15.75" customHeight="1">
      <c r="G774" s="100"/>
    </row>
    <row r="775" ht="15.75" customHeight="1">
      <c r="G775" s="100"/>
    </row>
    <row r="776" ht="15.75" customHeight="1">
      <c r="G776" s="100"/>
    </row>
    <row r="777" ht="15.75" customHeight="1">
      <c r="G777" s="100"/>
    </row>
    <row r="778" ht="15.75" customHeight="1">
      <c r="G778" s="100"/>
    </row>
    <row r="779" ht="15.75" customHeight="1">
      <c r="G779" s="100"/>
    </row>
    <row r="780" ht="15.75" customHeight="1">
      <c r="G780" s="100"/>
    </row>
    <row r="781" ht="15.75" customHeight="1">
      <c r="G781" s="100"/>
    </row>
    <row r="782" ht="15.75" customHeight="1">
      <c r="G782" s="100"/>
    </row>
    <row r="783" ht="15.75" customHeight="1">
      <c r="G783" s="100"/>
    </row>
    <row r="784" ht="15.75" customHeight="1">
      <c r="G784" s="100"/>
    </row>
    <row r="785" ht="15.75" customHeight="1">
      <c r="G785" s="100"/>
    </row>
    <row r="786" ht="15.75" customHeight="1">
      <c r="G786" s="100"/>
    </row>
    <row r="787" ht="15.75" customHeight="1">
      <c r="G787" s="100"/>
    </row>
    <row r="788" ht="15.75" customHeight="1">
      <c r="G788" s="100"/>
    </row>
    <row r="789" ht="15.75" customHeight="1">
      <c r="G789" s="100"/>
    </row>
    <row r="790" ht="15.75" customHeight="1">
      <c r="G790" s="100"/>
    </row>
    <row r="791" ht="15.75" customHeight="1">
      <c r="G791" s="100"/>
    </row>
    <row r="792" ht="15.75" customHeight="1">
      <c r="G792" s="100"/>
    </row>
    <row r="793" ht="15.75" customHeight="1">
      <c r="G793" s="100"/>
    </row>
    <row r="794" ht="15.75" customHeight="1">
      <c r="G794" s="100"/>
    </row>
    <row r="795" ht="15.75" customHeight="1">
      <c r="G795" s="100"/>
    </row>
    <row r="796" ht="15.75" customHeight="1">
      <c r="G796" s="100"/>
    </row>
    <row r="797" ht="15.75" customHeight="1">
      <c r="G797" s="100"/>
    </row>
    <row r="798" ht="15.75" customHeight="1">
      <c r="G798" s="100"/>
    </row>
    <row r="799" ht="15.75" customHeight="1">
      <c r="G799" s="100"/>
    </row>
    <row r="800" ht="15.75" customHeight="1">
      <c r="G800" s="100"/>
    </row>
    <row r="801" ht="15.75" customHeight="1">
      <c r="G801" s="100"/>
    </row>
    <row r="802" ht="15.75" customHeight="1">
      <c r="G802" s="100"/>
    </row>
    <row r="803" ht="15.75" customHeight="1">
      <c r="G803" s="100"/>
    </row>
    <row r="804" ht="15.75" customHeight="1">
      <c r="G804" s="100"/>
    </row>
    <row r="805" ht="15.75" customHeight="1">
      <c r="G805" s="100"/>
    </row>
    <row r="806" ht="15.75" customHeight="1">
      <c r="G806" s="100"/>
    </row>
    <row r="807" ht="15.75" customHeight="1">
      <c r="G807" s="100"/>
    </row>
    <row r="808" ht="15.75" customHeight="1">
      <c r="G808" s="100"/>
    </row>
    <row r="809" ht="15.75" customHeight="1">
      <c r="G809" s="100"/>
    </row>
    <row r="810" ht="15.75" customHeight="1">
      <c r="G810" s="100"/>
    </row>
    <row r="811" ht="15.75" customHeight="1">
      <c r="G811" s="100"/>
    </row>
    <row r="812" ht="15.75" customHeight="1">
      <c r="G812" s="100"/>
    </row>
    <row r="813" ht="15.75" customHeight="1">
      <c r="G813" s="100"/>
    </row>
    <row r="814" ht="15.75" customHeight="1">
      <c r="G814" s="100"/>
    </row>
    <row r="815" ht="15.75" customHeight="1">
      <c r="G815" s="100"/>
    </row>
    <row r="816" ht="15.75" customHeight="1">
      <c r="G816" s="100"/>
    </row>
    <row r="817" ht="15.75" customHeight="1">
      <c r="G817" s="100"/>
    </row>
    <row r="818" ht="15.75" customHeight="1">
      <c r="G818" s="100"/>
    </row>
    <row r="819" ht="15.75" customHeight="1">
      <c r="G819" s="100"/>
    </row>
    <row r="820" ht="15.75" customHeight="1">
      <c r="G820" s="100"/>
    </row>
    <row r="821" ht="15.75" customHeight="1">
      <c r="G821" s="100"/>
    </row>
    <row r="822" ht="15.75" customHeight="1">
      <c r="G822" s="100"/>
    </row>
    <row r="823" ht="15.75" customHeight="1">
      <c r="G823" s="100"/>
    </row>
    <row r="824" ht="15.75" customHeight="1">
      <c r="G824" s="100"/>
    </row>
    <row r="825" ht="15.75" customHeight="1">
      <c r="G825" s="100"/>
    </row>
    <row r="826" ht="15.75" customHeight="1">
      <c r="G826" s="100"/>
    </row>
    <row r="827" ht="15.75" customHeight="1">
      <c r="G827" s="100"/>
    </row>
    <row r="828" ht="15.75" customHeight="1">
      <c r="G828" s="100"/>
    </row>
    <row r="829" ht="15.75" customHeight="1">
      <c r="G829" s="100"/>
    </row>
    <row r="830" ht="15.75" customHeight="1">
      <c r="G830" s="100"/>
    </row>
    <row r="831" ht="15.75" customHeight="1">
      <c r="G831" s="100"/>
    </row>
    <row r="832" ht="15.75" customHeight="1">
      <c r="G832" s="100"/>
    </row>
    <row r="833" ht="15.75" customHeight="1">
      <c r="G833" s="100"/>
    </row>
    <row r="834" ht="15.75" customHeight="1">
      <c r="G834" s="100"/>
    </row>
    <row r="835" ht="15.75" customHeight="1">
      <c r="G835" s="100"/>
    </row>
    <row r="836" ht="15.75" customHeight="1">
      <c r="G836" s="100"/>
    </row>
    <row r="837" ht="15.75" customHeight="1">
      <c r="G837" s="100"/>
    </row>
    <row r="838" ht="15.75" customHeight="1">
      <c r="G838" s="100"/>
    </row>
    <row r="839" ht="15.75" customHeight="1">
      <c r="G839" s="100"/>
    </row>
    <row r="840" ht="15.75" customHeight="1">
      <c r="G840" s="100"/>
    </row>
    <row r="841" ht="15.75" customHeight="1">
      <c r="G841" s="100"/>
    </row>
    <row r="842" ht="15.75" customHeight="1">
      <c r="G842" s="100"/>
    </row>
    <row r="843" ht="15.75" customHeight="1">
      <c r="G843" s="100"/>
    </row>
    <row r="844" ht="15.75" customHeight="1">
      <c r="G844" s="100"/>
    </row>
    <row r="845" ht="15.75" customHeight="1">
      <c r="G845" s="100"/>
    </row>
    <row r="846" ht="15.75" customHeight="1">
      <c r="G846" s="100"/>
    </row>
    <row r="847" ht="15.75" customHeight="1">
      <c r="G847" s="100"/>
    </row>
    <row r="848" ht="15.75" customHeight="1">
      <c r="G848" s="100"/>
    </row>
    <row r="849" ht="15.75" customHeight="1">
      <c r="G849" s="100"/>
    </row>
    <row r="850" ht="15.75" customHeight="1">
      <c r="G850" s="100"/>
    </row>
    <row r="851" ht="15.75" customHeight="1">
      <c r="G851" s="100"/>
    </row>
    <row r="852" ht="15.75" customHeight="1">
      <c r="G852" s="100"/>
    </row>
    <row r="853" ht="15.75" customHeight="1">
      <c r="G853" s="100"/>
    </row>
    <row r="854" ht="15.75" customHeight="1">
      <c r="G854" s="100"/>
    </row>
    <row r="855" ht="15.75" customHeight="1">
      <c r="G855" s="100"/>
    </row>
    <row r="856" ht="15.75" customHeight="1">
      <c r="G856" s="100"/>
    </row>
    <row r="857" ht="15.75" customHeight="1">
      <c r="G857" s="100"/>
    </row>
    <row r="858" ht="15.75" customHeight="1">
      <c r="G858" s="100"/>
    </row>
    <row r="859" ht="15.75" customHeight="1">
      <c r="G859" s="100"/>
    </row>
    <row r="860" ht="15.75" customHeight="1">
      <c r="G860" s="100"/>
    </row>
    <row r="861" ht="15.75" customHeight="1">
      <c r="G861" s="100"/>
    </row>
    <row r="862" ht="15.75" customHeight="1">
      <c r="G862" s="100"/>
    </row>
    <row r="863" ht="15.75" customHeight="1">
      <c r="G863" s="100"/>
    </row>
    <row r="864" ht="15.75" customHeight="1">
      <c r="G864" s="100"/>
    </row>
    <row r="865" ht="15.75" customHeight="1">
      <c r="G865" s="100"/>
    </row>
    <row r="866" ht="15.75" customHeight="1">
      <c r="G866" s="100"/>
    </row>
    <row r="867" ht="15.75" customHeight="1">
      <c r="G867" s="100"/>
    </row>
    <row r="868" ht="15.75" customHeight="1">
      <c r="G868" s="100"/>
    </row>
    <row r="869" ht="15.75" customHeight="1">
      <c r="G869" s="100"/>
    </row>
    <row r="870" ht="15.75" customHeight="1">
      <c r="G870" s="100"/>
    </row>
    <row r="871" ht="15.75" customHeight="1">
      <c r="G871" s="100"/>
    </row>
    <row r="872" ht="15.75" customHeight="1">
      <c r="G872" s="100"/>
    </row>
    <row r="873" ht="15.75" customHeight="1">
      <c r="G873" s="100"/>
    </row>
    <row r="874" ht="15.75" customHeight="1">
      <c r="G874" s="100"/>
    </row>
    <row r="875" ht="15.75" customHeight="1">
      <c r="G875" s="100"/>
    </row>
    <row r="876" ht="15.75" customHeight="1">
      <c r="G876" s="100"/>
    </row>
    <row r="877" ht="15.75" customHeight="1">
      <c r="G877" s="100"/>
    </row>
    <row r="878" ht="15.75" customHeight="1">
      <c r="G878" s="100"/>
    </row>
    <row r="879" ht="15.75" customHeight="1">
      <c r="G879" s="100"/>
    </row>
    <row r="880" ht="15.75" customHeight="1">
      <c r="G880" s="100"/>
    </row>
    <row r="881" ht="15.75" customHeight="1">
      <c r="G881" s="100"/>
    </row>
    <row r="882" ht="15.75" customHeight="1">
      <c r="G882" s="100"/>
    </row>
    <row r="883" ht="15.75" customHeight="1">
      <c r="G883" s="100"/>
    </row>
    <row r="884" ht="15.75" customHeight="1">
      <c r="G884" s="100"/>
    </row>
    <row r="885" ht="15.75" customHeight="1">
      <c r="G885" s="100"/>
    </row>
    <row r="886" ht="15.75" customHeight="1">
      <c r="G886" s="100"/>
    </row>
    <row r="887" ht="15.75" customHeight="1">
      <c r="G887" s="100"/>
    </row>
    <row r="888" ht="15.75" customHeight="1">
      <c r="G888" s="100"/>
    </row>
    <row r="889" ht="15.75" customHeight="1">
      <c r="G889" s="100"/>
    </row>
    <row r="890" ht="15.75" customHeight="1">
      <c r="G890" s="100"/>
    </row>
    <row r="891" ht="15.75" customHeight="1">
      <c r="G891" s="100"/>
    </row>
    <row r="892" ht="15.75" customHeight="1">
      <c r="G892" s="100"/>
    </row>
    <row r="893" ht="15.75" customHeight="1">
      <c r="G893" s="100"/>
    </row>
    <row r="894" ht="15.75" customHeight="1">
      <c r="G894" s="100"/>
    </row>
    <row r="895" ht="15.75" customHeight="1">
      <c r="G895" s="100"/>
    </row>
    <row r="896" ht="15.75" customHeight="1">
      <c r="G896" s="100"/>
    </row>
    <row r="897" ht="15.75" customHeight="1">
      <c r="G897" s="100"/>
    </row>
    <row r="898" ht="15.75" customHeight="1">
      <c r="G898" s="100"/>
    </row>
    <row r="899" ht="15.75" customHeight="1">
      <c r="G899" s="100"/>
    </row>
    <row r="900" ht="15.75" customHeight="1">
      <c r="G900" s="100"/>
    </row>
    <row r="901" ht="15.75" customHeight="1">
      <c r="G901" s="100"/>
    </row>
    <row r="902" ht="15.75" customHeight="1">
      <c r="G902" s="100"/>
    </row>
    <row r="903" ht="15.75" customHeight="1">
      <c r="G903" s="100"/>
    </row>
    <row r="904" ht="15.75" customHeight="1">
      <c r="G904" s="100"/>
    </row>
    <row r="905" ht="15.75" customHeight="1">
      <c r="G905" s="100"/>
    </row>
    <row r="906" ht="15.75" customHeight="1">
      <c r="G906" s="100"/>
    </row>
    <row r="907" ht="15.75" customHeight="1">
      <c r="G907" s="100"/>
    </row>
    <row r="908" ht="15.75" customHeight="1">
      <c r="G908" s="100"/>
    </row>
    <row r="909" ht="15.75" customHeight="1">
      <c r="G909" s="100"/>
    </row>
    <row r="910" ht="15.75" customHeight="1">
      <c r="G910" s="100"/>
    </row>
    <row r="911" ht="15.75" customHeight="1">
      <c r="G911" s="100"/>
    </row>
    <row r="912" ht="15.75" customHeight="1">
      <c r="G912" s="100"/>
    </row>
    <row r="913" ht="15.75" customHeight="1">
      <c r="G913" s="100"/>
    </row>
    <row r="914" ht="15.75" customHeight="1">
      <c r="G914" s="100"/>
    </row>
    <row r="915" ht="15.75" customHeight="1">
      <c r="G915" s="100"/>
    </row>
    <row r="916" ht="15.75" customHeight="1">
      <c r="G916" s="100"/>
    </row>
    <row r="917" ht="15.75" customHeight="1">
      <c r="G917" s="100"/>
    </row>
    <row r="918" ht="15.75" customHeight="1">
      <c r="G918" s="100"/>
    </row>
    <row r="919" ht="15.75" customHeight="1">
      <c r="G919" s="100"/>
    </row>
    <row r="920" ht="15.75" customHeight="1">
      <c r="G920" s="100"/>
    </row>
    <row r="921" ht="15.75" customHeight="1">
      <c r="G921" s="100"/>
    </row>
    <row r="922" ht="15.75" customHeight="1">
      <c r="G922" s="100"/>
    </row>
    <row r="923" ht="15.75" customHeight="1">
      <c r="G923" s="100"/>
    </row>
    <row r="924" ht="15.75" customHeight="1">
      <c r="G924" s="100"/>
    </row>
    <row r="925" ht="15.75" customHeight="1">
      <c r="G925" s="100"/>
    </row>
    <row r="926" ht="15.75" customHeight="1">
      <c r="G926" s="100"/>
    </row>
    <row r="927" ht="15.75" customHeight="1">
      <c r="G927" s="100"/>
    </row>
    <row r="928" ht="15.75" customHeight="1">
      <c r="G928" s="100"/>
    </row>
    <row r="929" ht="15.75" customHeight="1">
      <c r="G929" s="100"/>
    </row>
    <row r="930" ht="15.75" customHeight="1">
      <c r="G930" s="100"/>
    </row>
    <row r="931" ht="15.75" customHeight="1">
      <c r="G931" s="100"/>
    </row>
    <row r="932" ht="15.75" customHeight="1">
      <c r="G932" s="100"/>
    </row>
    <row r="933" ht="15.75" customHeight="1">
      <c r="G933" s="100"/>
    </row>
    <row r="934" ht="15.75" customHeight="1">
      <c r="G934" s="100"/>
    </row>
    <row r="935" ht="15.75" customHeight="1">
      <c r="G935" s="100"/>
    </row>
    <row r="936" ht="15.75" customHeight="1">
      <c r="G936" s="100"/>
    </row>
    <row r="937" ht="15.75" customHeight="1">
      <c r="G937" s="100"/>
    </row>
    <row r="938" ht="15.75" customHeight="1">
      <c r="G938" s="100"/>
    </row>
    <row r="939" ht="15.75" customHeight="1">
      <c r="G939" s="100"/>
    </row>
    <row r="940" ht="15.75" customHeight="1">
      <c r="G940" s="100"/>
    </row>
    <row r="941" ht="15.75" customHeight="1">
      <c r="G941" s="100"/>
    </row>
    <row r="942" ht="15.75" customHeight="1">
      <c r="G942" s="100"/>
    </row>
    <row r="943" ht="15.75" customHeight="1">
      <c r="G943" s="100"/>
    </row>
    <row r="944" ht="15.75" customHeight="1">
      <c r="G944" s="100"/>
    </row>
    <row r="945" ht="15.75" customHeight="1">
      <c r="G945" s="100"/>
    </row>
    <row r="946" ht="15.75" customHeight="1">
      <c r="G946" s="100"/>
    </row>
    <row r="947" ht="15.75" customHeight="1">
      <c r="G947" s="100"/>
    </row>
    <row r="948" ht="15.75" customHeight="1">
      <c r="G948" s="100"/>
    </row>
    <row r="949" ht="15.75" customHeight="1">
      <c r="G949" s="100"/>
    </row>
    <row r="950" ht="15.75" customHeight="1">
      <c r="G950" s="100"/>
    </row>
    <row r="951" ht="15.75" customHeight="1">
      <c r="G951" s="100"/>
    </row>
    <row r="952" ht="15.75" customHeight="1">
      <c r="G952" s="100"/>
    </row>
    <row r="953" ht="15.75" customHeight="1">
      <c r="G953" s="100"/>
    </row>
    <row r="954" ht="15.75" customHeight="1">
      <c r="G954" s="100"/>
    </row>
    <row r="955" ht="15.75" customHeight="1">
      <c r="G955" s="100"/>
    </row>
    <row r="956" ht="15.75" customHeight="1">
      <c r="G956" s="100"/>
    </row>
    <row r="957" ht="15.75" customHeight="1">
      <c r="G957" s="100"/>
    </row>
    <row r="958" ht="15.75" customHeight="1">
      <c r="G958" s="100"/>
    </row>
    <row r="959" ht="15.75" customHeight="1">
      <c r="G959" s="100"/>
    </row>
    <row r="960" ht="15.75" customHeight="1">
      <c r="G960" s="100"/>
    </row>
    <row r="961" ht="15.75" customHeight="1">
      <c r="G961" s="100"/>
    </row>
    <row r="962" ht="15.75" customHeight="1">
      <c r="G962" s="100"/>
    </row>
    <row r="963" ht="15.75" customHeight="1">
      <c r="G963" s="100"/>
    </row>
    <row r="964" ht="15.75" customHeight="1">
      <c r="G964" s="100"/>
    </row>
    <row r="965" ht="15.75" customHeight="1">
      <c r="G965" s="100"/>
    </row>
    <row r="966" ht="15.75" customHeight="1">
      <c r="G966" s="100"/>
    </row>
    <row r="967" ht="15.75" customHeight="1">
      <c r="G967" s="100"/>
    </row>
    <row r="968" ht="15.75" customHeight="1">
      <c r="G968" s="100"/>
    </row>
    <row r="969" ht="15.75" customHeight="1">
      <c r="G969" s="100"/>
    </row>
    <row r="970" ht="15.75" customHeight="1">
      <c r="G970" s="100"/>
    </row>
    <row r="971" ht="15.75" customHeight="1">
      <c r="G971" s="100"/>
    </row>
    <row r="972" ht="15.75" customHeight="1">
      <c r="G972" s="100"/>
    </row>
    <row r="973" ht="15.75" customHeight="1">
      <c r="G973" s="100"/>
    </row>
    <row r="974" ht="15.75" customHeight="1">
      <c r="G974" s="100"/>
    </row>
    <row r="975" ht="15.75" customHeight="1">
      <c r="G975" s="100"/>
    </row>
    <row r="976" ht="15.75" customHeight="1">
      <c r="G976" s="100"/>
    </row>
    <row r="977" ht="15.75" customHeight="1">
      <c r="G977" s="100"/>
    </row>
    <row r="978" ht="15.75" customHeight="1">
      <c r="G978" s="100"/>
    </row>
    <row r="979" ht="15.75" customHeight="1">
      <c r="G979" s="100"/>
    </row>
    <row r="980" ht="15.75" customHeight="1">
      <c r="G980" s="100"/>
    </row>
    <row r="981" ht="15.75" customHeight="1">
      <c r="G981" s="100"/>
    </row>
    <row r="982" ht="15.75" customHeight="1">
      <c r="G982" s="100"/>
    </row>
    <row r="983" ht="15.75" customHeight="1">
      <c r="G983" s="100"/>
    </row>
    <row r="984" ht="15.75" customHeight="1">
      <c r="G984" s="100"/>
    </row>
    <row r="985" ht="15.75" customHeight="1">
      <c r="G985" s="100"/>
    </row>
    <row r="986" ht="15.75" customHeight="1">
      <c r="G986" s="100"/>
    </row>
    <row r="987" ht="15.75" customHeight="1">
      <c r="G987" s="100"/>
    </row>
    <row r="988" ht="15.75" customHeight="1">
      <c r="G988" s="100"/>
    </row>
    <row r="989" ht="15.75" customHeight="1">
      <c r="G989" s="100"/>
    </row>
    <row r="990" ht="15.75" customHeight="1">
      <c r="G990" s="100"/>
    </row>
    <row r="991" ht="15.75" customHeight="1">
      <c r="G991" s="100"/>
    </row>
    <row r="992" ht="15.75" customHeight="1">
      <c r="G992" s="100"/>
    </row>
    <row r="993" ht="15.75" customHeight="1">
      <c r="G993" s="100"/>
    </row>
    <row r="994" ht="15.75" customHeight="1">
      <c r="G994" s="100"/>
    </row>
    <row r="995" ht="15.75" customHeight="1">
      <c r="G995" s="100"/>
    </row>
    <row r="996" ht="15.75" customHeight="1">
      <c r="G996" s="100"/>
    </row>
    <row r="997" ht="15.75" customHeight="1">
      <c r="G997" s="100"/>
    </row>
    <row r="998" ht="15.75" customHeight="1">
      <c r="G998" s="100"/>
    </row>
    <row r="999" ht="15.75" customHeight="1">
      <c r="G999" s="100"/>
    </row>
    <row r="1000" ht="15.75" customHeight="1">
      <c r="G1000" s="100"/>
    </row>
  </sheetData>
  <mergeCells count="45">
    <mergeCell ref="F6:F7"/>
    <mergeCell ref="G6:J6"/>
    <mergeCell ref="K6:N6"/>
    <mergeCell ref="O6:P6"/>
    <mergeCell ref="Q6:R6"/>
    <mergeCell ref="B8:R8"/>
    <mergeCell ref="B9:R9"/>
    <mergeCell ref="B19:R19"/>
    <mergeCell ref="B41:R41"/>
    <mergeCell ref="B42:R42"/>
    <mergeCell ref="B51:R51"/>
    <mergeCell ref="B60:R60"/>
    <mergeCell ref="B61:R61"/>
    <mergeCell ref="B63:R63"/>
    <mergeCell ref="P1:P5"/>
    <mergeCell ref="Q1:Q5"/>
    <mergeCell ref="B2:C2"/>
    <mergeCell ref="D2:F2"/>
    <mergeCell ref="B3:C3"/>
    <mergeCell ref="D3:F3"/>
    <mergeCell ref="B4:C4"/>
    <mergeCell ref="D4:F4"/>
    <mergeCell ref="B1:C1"/>
    <mergeCell ref="D1:F1"/>
    <mergeCell ref="G1:G5"/>
    <mergeCell ref="H1:H5"/>
    <mergeCell ref="K1:K5"/>
    <mergeCell ref="N1:N5"/>
    <mergeCell ref="O1:O5"/>
    <mergeCell ref="B5:C5"/>
    <mergeCell ref="D5:F5"/>
    <mergeCell ref="A6:A7"/>
    <mergeCell ref="B6:B7"/>
    <mergeCell ref="C6:C7"/>
    <mergeCell ref="D6:D7"/>
    <mergeCell ref="E6:E7"/>
    <mergeCell ref="B135:R135"/>
    <mergeCell ref="B144:R144"/>
    <mergeCell ref="B85:R85"/>
    <mergeCell ref="B86:R86"/>
    <mergeCell ref="B95:R95"/>
    <mergeCell ref="B104:R104"/>
    <mergeCell ref="B105:R105"/>
    <mergeCell ref="B114:R114"/>
    <mergeCell ref="B134:R1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.25"/>
    <col customWidth="1" min="3" max="3" width="24.38"/>
    <col customWidth="1" min="4" max="4" width="37.88"/>
    <col customWidth="1" min="5" max="5" width="15.25"/>
    <col customWidth="1" min="6" max="6" width="8.75"/>
    <col customWidth="1" min="7" max="7" width="8.13"/>
    <col customWidth="1" min="8" max="8" width="9.25"/>
    <col customWidth="1" min="9" max="9" width="20.38"/>
    <col customWidth="1" min="10" max="10" width="8.75"/>
    <col customWidth="1" min="11" max="11" width="8.13"/>
    <col customWidth="1" min="12" max="12" width="6.63"/>
    <col customWidth="1" min="13" max="13" width="12.0"/>
    <col customWidth="1" min="14" max="14" width="35.75"/>
    <col customWidth="1" min="15" max="15" width="4.25"/>
  </cols>
  <sheetData>
    <row r="1" ht="15.75" customHeight="1">
      <c r="A1" s="101"/>
      <c r="B1" s="102"/>
      <c r="C1" s="103"/>
      <c r="D1" s="104"/>
      <c r="E1" s="102"/>
      <c r="F1" s="103"/>
      <c r="G1" s="103"/>
      <c r="H1" s="102"/>
      <c r="I1" s="102"/>
      <c r="J1" s="103"/>
      <c r="K1" s="103"/>
      <c r="L1" s="102"/>
      <c r="M1" s="102"/>
      <c r="N1" s="102"/>
      <c r="O1" s="105"/>
    </row>
    <row r="2" ht="15.75" customHeight="1">
      <c r="A2" s="102"/>
      <c r="B2" s="102"/>
      <c r="C2" s="106"/>
      <c r="D2" s="107"/>
      <c r="E2" s="108"/>
      <c r="F2" s="106"/>
      <c r="G2" s="106"/>
      <c r="H2" s="108"/>
      <c r="I2" s="108"/>
      <c r="J2" s="106"/>
      <c r="K2" s="106"/>
      <c r="L2" s="108"/>
      <c r="M2" s="108"/>
      <c r="N2" s="102"/>
      <c r="O2" s="105"/>
    </row>
    <row r="3" ht="15.75" customHeight="1">
      <c r="A3" s="102"/>
      <c r="B3" s="102"/>
      <c r="C3" s="109" t="s">
        <v>498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110"/>
      <c r="O3" s="105"/>
    </row>
    <row r="4" ht="15.75" customHeight="1">
      <c r="A4" s="102"/>
      <c r="B4" s="108"/>
      <c r="C4" s="111"/>
      <c r="D4" s="112"/>
      <c r="E4" s="113"/>
      <c r="F4" s="111"/>
      <c r="G4" s="111"/>
      <c r="H4" s="113"/>
      <c r="I4" s="113"/>
      <c r="J4" s="114"/>
      <c r="K4" s="114"/>
      <c r="L4" s="115"/>
      <c r="M4" s="115"/>
      <c r="N4" s="102"/>
      <c r="O4" s="105"/>
    </row>
    <row r="5" ht="15.75" customHeight="1">
      <c r="A5" s="102"/>
      <c r="B5" s="116" t="s">
        <v>33</v>
      </c>
      <c r="C5" s="117" t="s">
        <v>8</v>
      </c>
      <c r="D5" s="118" t="s">
        <v>35</v>
      </c>
      <c r="E5" s="119" t="s">
        <v>499</v>
      </c>
      <c r="F5" s="120"/>
      <c r="G5" s="120"/>
      <c r="H5" s="121"/>
      <c r="I5" s="122" t="s">
        <v>500</v>
      </c>
      <c r="J5" s="61"/>
      <c r="K5" s="61"/>
      <c r="L5" s="61"/>
      <c r="M5" s="62"/>
      <c r="N5" s="116" t="s">
        <v>501</v>
      </c>
      <c r="O5" s="105"/>
    </row>
    <row r="6" ht="15.75" customHeight="1">
      <c r="A6" s="102"/>
      <c r="B6" s="123"/>
      <c r="C6" s="123"/>
      <c r="D6" s="123"/>
      <c r="E6" s="124" t="s">
        <v>41</v>
      </c>
      <c r="F6" s="125" t="s">
        <v>502</v>
      </c>
      <c r="G6" s="125" t="s">
        <v>503</v>
      </c>
      <c r="H6" s="124" t="s">
        <v>42</v>
      </c>
      <c r="I6" s="126" t="s">
        <v>41</v>
      </c>
      <c r="J6" s="127" t="s">
        <v>502</v>
      </c>
      <c r="K6" s="127" t="s">
        <v>503</v>
      </c>
      <c r="L6" s="128" t="s">
        <v>504</v>
      </c>
      <c r="M6" s="128" t="s">
        <v>42</v>
      </c>
      <c r="N6" s="123"/>
      <c r="O6" s="105"/>
    </row>
    <row r="7" ht="15.75" customHeight="1">
      <c r="A7" s="102"/>
      <c r="B7" s="129">
        <v>1.0</v>
      </c>
      <c r="C7" s="130" t="s">
        <v>505</v>
      </c>
      <c r="D7" s="131" t="s">
        <v>506</v>
      </c>
      <c r="E7" s="132" t="s">
        <v>507</v>
      </c>
      <c r="F7" s="133"/>
      <c r="G7" s="134"/>
      <c r="H7" s="135"/>
      <c r="I7" s="129" t="s">
        <v>508</v>
      </c>
      <c r="J7" s="136">
        <v>45915.0</v>
      </c>
      <c r="K7" s="136">
        <v>45922.0</v>
      </c>
      <c r="L7" s="137">
        <v>4.0</v>
      </c>
      <c r="M7" s="129"/>
      <c r="N7" s="129"/>
      <c r="O7" s="105"/>
    </row>
    <row r="8" ht="15.75" customHeight="1">
      <c r="A8" s="102"/>
      <c r="B8" s="129"/>
      <c r="C8" s="81"/>
      <c r="D8" s="131" t="s">
        <v>509</v>
      </c>
      <c r="E8" s="132" t="s">
        <v>507</v>
      </c>
      <c r="F8" s="133"/>
      <c r="G8" s="134"/>
      <c r="H8" s="135"/>
      <c r="I8" s="129" t="s">
        <v>508</v>
      </c>
      <c r="J8" s="136">
        <v>45915.0</v>
      </c>
      <c r="K8" s="136">
        <v>45922.0</v>
      </c>
      <c r="L8" s="81"/>
      <c r="M8" s="129"/>
      <c r="N8" s="129"/>
      <c r="O8" s="105"/>
    </row>
    <row r="9" ht="15.75" customHeight="1">
      <c r="A9" s="102"/>
      <c r="B9" s="129"/>
      <c r="C9" s="81"/>
      <c r="D9" s="131" t="s">
        <v>510</v>
      </c>
      <c r="E9" s="132" t="s">
        <v>507</v>
      </c>
      <c r="F9" s="133"/>
      <c r="G9" s="134"/>
      <c r="H9" s="135"/>
      <c r="I9" s="129" t="s">
        <v>508</v>
      </c>
      <c r="J9" s="136">
        <v>45915.0</v>
      </c>
      <c r="K9" s="136">
        <v>45922.0</v>
      </c>
      <c r="L9" s="81"/>
      <c r="M9" s="129"/>
      <c r="N9" s="129"/>
      <c r="O9" s="105"/>
    </row>
    <row r="10" ht="15.75" customHeight="1">
      <c r="A10" s="102"/>
      <c r="B10" s="129"/>
      <c r="C10" s="81"/>
      <c r="D10" s="131" t="s">
        <v>511</v>
      </c>
      <c r="E10" s="132" t="s">
        <v>507</v>
      </c>
      <c r="F10" s="133"/>
      <c r="G10" s="134"/>
      <c r="H10" s="135"/>
      <c r="I10" s="129" t="s">
        <v>508</v>
      </c>
      <c r="J10" s="136">
        <v>45915.0</v>
      </c>
      <c r="K10" s="136">
        <v>45922.0</v>
      </c>
      <c r="L10" s="81"/>
      <c r="M10" s="129"/>
      <c r="N10" s="129"/>
      <c r="O10" s="105"/>
    </row>
    <row r="11" ht="15.75" customHeight="1">
      <c r="A11" s="102"/>
      <c r="B11" s="129"/>
      <c r="C11" s="81"/>
      <c r="D11" s="131" t="s">
        <v>512</v>
      </c>
      <c r="E11" s="132" t="s">
        <v>507</v>
      </c>
      <c r="F11" s="133"/>
      <c r="G11" s="134"/>
      <c r="H11" s="135"/>
      <c r="I11" s="129" t="s">
        <v>508</v>
      </c>
      <c r="J11" s="136">
        <v>45915.0</v>
      </c>
      <c r="K11" s="136">
        <v>45922.0</v>
      </c>
      <c r="L11" s="81"/>
      <c r="M11" s="129"/>
      <c r="N11" s="129"/>
      <c r="O11" s="105"/>
    </row>
    <row r="12" ht="15.75" customHeight="1">
      <c r="A12" s="102"/>
      <c r="B12" s="129"/>
      <c r="C12" s="81"/>
      <c r="D12" s="131" t="s">
        <v>513</v>
      </c>
      <c r="E12" s="132" t="s">
        <v>507</v>
      </c>
      <c r="F12" s="133"/>
      <c r="G12" s="134"/>
      <c r="H12" s="135"/>
      <c r="I12" s="129" t="s">
        <v>508</v>
      </c>
      <c r="J12" s="136">
        <v>45915.0</v>
      </c>
      <c r="K12" s="136">
        <v>45922.0</v>
      </c>
      <c r="L12" s="81"/>
      <c r="M12" s="129"/>
      <c r="N12" s="129"/>
      <c r="O12" s="105"/>
    </row>
    <row r="13" ht="15.75" customHeight="1">
      <c r="A13" s="102"/>
      <c r="B13" s="129">
        <v>2.0</v>
      </c>
      <c r="C13" s="81"/>
      <c r="D13" s="131" t="s">
        <v>514</v>
      </c>
      <c r="E13" s="132" t="s">
        <v>507</v>
      </c>
      <c r="F13" s="134"/>
      <c r="G13" s="134"/>
      <c r="H13" s="135"/>
      <c r="I13" s="129" t="s">
        <v>508</v>
      </c>
      <c r="J13" s="136">
        <v>45915.0</v>
      </c>
      <c r="K13" s="136">
        <v>45922.0</v>
      </c>
      <c r="L13" s="81"/>
      <c r="M13" s="129"/>
      <c r="N13" s="129"/>
      <c r="O13" s="105"/>
    </row>
    <row r="14" ht="15.75" customHeight="1">
      <c r="A14" s="102"/>
      <c r="B14" s="129"/>
      <c r="C14" s="123"/>
      <c r="D14" s="131" t="s">
        <v>515</v>
      </c>
      <c r="E14" s="132"/>
      <c r="F14" s="134"/>
      <c r="G14" s="134"/>
      <c r="H14" s="135"/>
      <c r="I14" s="129" t="s">
        <v>508</v>
      </c>
      <c r="J14" s="136">
        <v>45915.0</v>
      </c>
      <c r="K14" s="136">
        <v>45922.0</v>
      </c>
      <c r="L14" s="82"/>
      <c r="M14" s="129"/>
      <c r="N14" s="129"/>
      <c r="O14" s="105"/>
    </row>
    <row r="15" ht="15.75" customHeight="1">
      <c r="A15" s="102"/>
      <c r="B15" s="129">
        <v>3.0</v>
      </c>
      <c r="C15" s="130" t="s">
        <v>516</v>
      </c>
      <c r="D15" s="131" t="s">
        <v>506</v>
      </c>
      <c r="E15" s="132" t="s">
        <v>507</v>
      </c>
      <c r="F15" s="138"/>
      <c r="G15" s="138"/>
      <c r="H15" s="135"/>
      <c r="I15" s="129" t="s">
        <v>508</v>
      </c>
      <c r="J15" s="136">
        <v>45915.0</v>
      </c>
      <c r="K15" s="136">
        <v>45922.0</v>
      </c>
      <c r="L15" s="137">
        <v>3.0</v>
      </c>
      <c r="M15" s="129"/>
      <c r="N15" s="129"/>
      <c r="O15" s="139"/>
    </row>
    <row r="16" ht="15.75" customHeight="1">
      <c r="A16" s="102"/>
      <c r="B16" s="129">
        <v>4.0</v>
      </c>
      <c r="C16" s="81"/>
      <c r="D16" s="131" t="s">
        <v>509</v>
      </c>
      <c r="E16" s="132" t="s">
        <v>507</v>
      </c>
      <c r="F16" s="138"/>
      <c r="G16" s="138"/>
      <c r="H16" s="135"/>
      <c r="I16" s="129" t="s">
        <v>508</v>
      </c>
      <c r="J16" s="136">
        <v>45915.0</v>
      </c>
      <c r="K16" s="136">
        <v>45922.0</v>
      </c>
      <c r="L16" s="81"/>
      <c r="M16" s="129"/>
      <c r="N16" s="129"/>
      <c r="O16" s="140"/>
    </row>
    <row r="17" ht="15.75" customHeight="1">
      <c r="A17" s="102"/>
      <c r="B17" s="129">
        <v>5.0</v>
      </c>
      <c r="C17" s="81"/>
      <c r="D17" s="131" t="s">
        <v>517</v>
      </c>
      <c r="E17" s="132" t="s">
        <v>507</v>
      </c>
      <c r="F17" s="138"/>
      <c r="G17" s="138"/>
      <c r="H17" s="135"/>
      <c r="I17" s="129" t="s">
        <v>508</v>
      </c>
      <c r="J17" s="136">
        <v>45915.0</v>
      </c>
      <c r="K17" s="136">
        <v>45922.0</v>
      </c>
      <c r="L17" s="81"/>
      <c r="M17" s="141"/>
      <c r="N17" s="141"/>
      <c r="O17" s="140"/>
    </row>
    <row r="18" ht="15.75" customHeight="1">
      <c r="A18" s="102"/>
      <c r="B18" s="129">
        <v>6.0</v>
      </c>
      <c r="C18" s="123"/>
      <c r="D18" s="131" t="s">
        <v>518</v>
      </c>
      <c r="E18" s="132" t="s">
        <v>507</v>
      </c>
      <c r="F18" s="138"/>
      <c r="G18" s="138"/>
      <c r="H18" s="135"/>
      <c r="I18" s="129" t="s">
        <v>508</v>
      </c>
      <c r="J18" s="136">
        <v>45915.0</v>
      </c>
      <c r="K18" s="136">
        <v>45922.0</v>
      </c>
      <c r="L18" s="82"/>
      <c r="M18" s="129"/>
      <c r="N18" s="129"/>
      <c r="O18" s="140"/>
    </row>
    <row r="19" ht="15.75" customHeight="1">
      <c r="A19" s="102"/>
      <c r="B19" s="129">
        <v>7.0</v>
      </c>
      <c r="C19" s="142" t="s">
        <v>519</v>
      </c>
      <c r="D19" s="131" t="s">
        <v>520</v>
      </c>
      <c r="E19" s="132"/>
      <c r="F19" s="138"/>
      <c r="G19" s="138"/>
      <c r="H19" s="135"/>
      <c r="I19" s="129"/>
      <c r="J19" s="143"/>
      <c r="K19" s="143"/>
      <c r="L19" s="129"/>
      <c r="M19" s="129"/>
      <c r="N19" s="129"/>
      <c r="O19" s="140"/>
    </row>
    <row r="20" ht="15.75" customHeight="1">
      <c r="A20" s="102"/>
      <c r="B20" s="144">
        <v>22.0</v>
      </c>
      <c r="C20" s="130" t="s">
        <v>521</v>
      </c>
      <c r="D20" s="131" t="s">
        <v>506</v>
      </c>
      <c r="E20" s="135" t="s">
        <v>522</v>
      </c>
      <c r="F20" s="138"/>
      <c r="G20" s="138"/>
      <c r="H20" s="135"/>
      <c r="I20" s="129" t="s">
        <v>523</v>
      </c>
      <c r="J20" s="136">
        <v>45908.0</v>
      </c>
      <c r="K20" s="136">
        <v>45912.0</v>
      </c>
      <c r="L20" s="137">
        <v>5.0</v>
      </c>
      <c r="M20" s="129" t="s">
        <v>524</v>
      </c>
      <c r="N20" s="129"/>
      <c r="O20" s="105"/>
    </row>
    <row r="21" ht="15.75" customHeight="1">
      <c r="A21" s="102"/>
      <c r="B21" s="144"/>
      <c r="C21" s="81"/>
      <c r="D21" s="131" t="s">
        <v>525</v>
      </c>
      <c r="E21" s="135" t="s">
        <v>522</v>
      </c>
      <c r="F21" s="138"/>
      <c r="G21" s="138"/>
      <c r="H21" s="135"/>
      <c r="I21" s="129" t="s">
        <v>523</v>
      </c>
      <c r="J21" s="136">
        <v>45908.0</v>
      </c>
      <c r="K21" s="136">
        <v>45912.0</v>
      </c>
      <c r="L21" s="81"/>
      <c r="M21" s="129" t="s">
        <v>524</v>
      </c>
      <c r="N21" s="129"/>
      <c r="O21" s="105"/>
    </row>
    <row r="22" ht="15.75" customHeight="1">
      <c r="A22" s="102"/>
      <c r="B22" s="144">
        <v>24.0</v>
      </c>
      <c r="C22" s="81"/>
      <c r="D22" s="131" t="s">
        <v>517</v>
      </c>
      <c r="E22" s="135" t="s">
        <v>522</v>
      </c>
      <c r="F22" s="138"/>
      <c r="G22" s="138"/>
      <c r="H22" s="135"/>
      <c r="I22" s="129" t="s">
        <v>523</v>
      </c>
      <c r="J22" s="136">
        <v>45908.0</v>
      </c>
      <c r="K22" s="136">
        <v>45912.0</v>
      </c>
      <c r="L22" s="81"/>
      <c r="M22" s="129" t="s">
        <v>524</v>
      </c>
      <c r="N22" s="129"/>
      <c r="O22" s="105"/>
    </row>
    <row r="23" ht="15.75" customHeight="1">
      <c r="A23" s="102"/>
      <c r="B23" s="144"/>
      <c r="C23" s="81"/>
      <c r="D23" s="131" t="s">
        <v>526</v>
      </c>
      <c r="E23" s="135" t="s">
        <v>522</v>
      </c>
      <c r="F23" s="138"/>
      <c r="G23" s="138"/>
      <c r="H23" s="135"/>
      <c r="I23" s="129" t="s">
        <v>523</v>
      </c>
      <c r="J23" s="136">
        <v>45908.0</v>
      </c>
      <c r="K23" s="136">
        <v>45912.0</v>
      </c>
      <c r="L23" s="81"/>
      <c r="M23" s="129" t="s">
        <v>524</v>
      </c>
      <c r="N23" s="129"/>
      <c r="O23" s="105"/>
    </row>
    <row r="24" ht="15.75" customHeight="1">
      <c r="A24" s="102"/>
      <c r="B24" s="144"/>
      <c r="C24" s="81"/>
      <c r="D24" s="131" t="s">
        <v>527</v>
      </c>
      <c r="E24" s="135" t="s">
        <v>522</v>
      </c>
      <c r="F24" s="138"/>
      <c r="G24" s="138"/>
      <c r="H24" s="135"/>
      <c r="I24" s="129" t="s">
        <v>523</v>
      </c>
      <c r="J24" s="136">
        <v>45908.0</v>
      </c>
      <c r="K24" s="136">
        <v>45912.0</v>
      </c>
      <c r="L24" s="81"/>
      <c r="M24" s="129" t="s">
        <v>524</v>
      </c>
      <c r="N24" s="129"/>
      <c r="O24" s="105"/>
    </row>
    <row r="25" ht="15.75" customHeight="1">
      <c r="A25" s="102"/>
      <c r="B25" s="144"/>
      <c r="C25" s="81"/>
      <c r="D25" s="131" t="s">
        <v>528</v>
      </c>
      <c r="E25" s="135" t="s">
        <v>522</v>
      </c>
      <c r="F25" s="134"/>
      <c r="G25" s="134"/>
      <c r="H25" s="135"/>
      <c r="I25" s="129" t="s">
        <v>523</v>
      </c>
      <c r="J25" s="136">
        <v>45908.0</v>
      </c>
      <c r="K25" s="136">
        <v>45912.0</v>
      </c>
      <c r="L25" s="81"/>
      <c r="M25" s="129" t="s">
        <v>524</v>
      </c>
      <c r="N25" s="129"/>
      <c r="O25" s="105"/>
    </row>
    <row r="26" ht="15.75" customHeight="1">
      <c r="A26" s="102"/>
      <c r="B26" s="144">
        <v>28.0</v>
      </c>
      <c r="C26" s="82"/>
      <c r="D26" s="145" t="s">
        <v>529</v>
      </c>
      <c r="E26" s="135" t="s">
        <v>522</v>
      </c>
      <c r="F26" s="134"/>
      <c r="G26" s="146"/>
      <c r="H26" s="135"/>
      <c r="I26" s="129" t="s">
        <v>523</v>
      </c>
      <c r="J26" s="136">
        <v>45908.0</v>
      </c>
      <c r="K26" s="136">
        <v>45912.0</v>
      </c>
      <c r="L26" s="82"/>
      <c r="M26" s="129" t="s">
        <v>524</v>
      </c>
      <c r="N26" s="141"/>
      <c r="O26" s="105"/>
    </row>
    <row r="27" ht="15.75" customHeight="1">
      <c r="A27" s="102"/>
      <c r="B27" s="147">
        <v>29.0</v>
      </c>
      <c r="C27" s="148" t="s">
        <v>530</v>
      </c>
      <c r="D27" s="145"/>
      <c r="E27" s="147" t="s">
        <v>531</v>
      </c>
      <c r="F27" s="148"/>
      <c r="G27" s="148"/>
      <c r="H27" s="147"/>
      <c r="I27" s="147"/>
      <c r="J27" s="148"/>
      <c r="K27" s="148"/>
      <c r="L27" s="147">
        <v>1.0</v>
      </c>
      <c r="M27" s="147" t="s">
        <v>532</v>
      </c>
      <c r="N27" s="147"/>
      <c r="O27" s="105"/>
    </row>
    <row r="28" ht="15.75" customHeight="1">
      <c r="A28" s="149"/>
      <c r="B28" s="150"/>
      <c r="C28" s="151"/>
      <c r="D28" s="152"/>
      <c r="E28" s="150"/>
      <c r="F28" s="151"/>
      <c r="G28" s="151"/>
      <c r="H28" s="150"/>
      <c r="I28" s="150"/>
      <c r="J28" s="151"/>
      <c r="K28" s="151"/>
      <c r="L28" s="150"/>
      <c r="M28" s="150"/>
      <c r="N28" s="150"/>
      <c r="O28" s="105"/>
    </row>
    <row r="29" ht="15.75" customHeight="1">
      <c r="A29" s="149"/>
      <c r="B29" s="149"/>
      <c r="C29" s="153"/>
      <c r="D29" s="154"/>
      <c r="E29" s="149"/>
      <c r="F29" s="153"/>
      <c r="G29" s="153"/>
      <c r="H29" s="149"/>
      <c r="I29" s="149"/>
      <c r="J29" s="153"/>
      <c r="K29" s="153"/>
      <c r="L29" s="149"/>
      <c r="M29" s="149"/>
      <c r="N29" s="149"/>
      <c r="O29" s="105"/>
    </row>
    <row r="30" ht="15.75" customHeight="1">
      <c r="A30" s="149"/>
      <c r="B30" s="149"/>
      <c r="C30" s="153"/>
      <c r="D30" s="154"/>
      <c r="E30" s="149"/>
      <c r="F30" s="153"/>
      <c r="G30" s="153"/>
      <c r="H30" s="149"/>
      <c r="I30" s="149"/>
      <c r="J30" s="153"/>
      <c r="K30" s="153"/>
      <c r="L30" s="149"/>
      <c r="M30" s="149"/>
      <c r="N30" s="149"/>
      <c r="O30" s="105"/>
    </row>
    <row r="31" ht="15.75" customHeight="1">
      <c r="A31" s="149"/>
      <c r="B31" s="149"/>
      <c r="C31" s="153"/>
      <c r="D31" s="154"/>
      <c r="E31" s="149"/>
      <c r="F31" s="153"/>
      <c r="G31" s="153"/>
      <c r="H31" s="149"/>
      <c r="I31" s="149"/>
      <c r="J31" s="153"/>
      <c r="K31" s="153"/>
      <c r="L31" s="149"/>
      <c r="M31" s="149"/>
      <c r="N31" s="149"/>
      <c r="O31" s="105"/>
    </row>
    <row r="32" ht="15.75" customHeight="1">
      <c r="A32" s="149"/>
      <c r="B32" s="149"/>
      <c r="C32" s="153"/>
      <c r="D32" s="154"/>
      <c r="E32" s="149"/>
      <c r="F32" s="153"/>
      <c r="G32" s="153"/>
      <c r="H32" s="149"/>
      <c r="I32" s="149"/>
      <c r="J32" s="153"/>
      <c r="K32" s="153"/>
      <c r="L32" s="149"/>
      <c r="M32" s="149"/>
      <c r="N32" s="149"/>
      <c r="O32" s="105"/>
    </row>
    <row r="33" ht="15.75" customHeight="1">
      <c r="A33" s="149"/>
      <c r="B33" s="149"/>
      <c r="C33" s="153"/>
      <c r="D33" s="154"/>
      <c r="E33" s="149"/>
      <c r="F33" s="153"/>
      <c r="G33" s="153"/>
      <c r="H33" s="149"/>
      <c r="I33" s="149"/>
      <c r="J33" s="153"/>
      <c r="K33" s="153"/>
      <c r="L33" s="149"/>
      <c r="M33" s="149"/>
      <c r="N33" s="149"/>
      <c r="O33" s="105"/>
    </row>
    <row r="34" ht="15.75" customHeight="1">
      <c r="A34" s="149"/>
      <c r="B34" s="149"/>
      <c r="C34" s="153"/>
      <c r="D34" s="154"/>
      <c r="E34" s="149"/>
      <c r="F34" s="153"/>
      <c r="G34" s="153"/>
      <c r="H34" s="149"/>
      <c r="I34" s="149"/>
      <c r="J34" s="153"/>
      <c r="K34" s="153"/>
      <c r="L34" s="149"/>
      <c r="M34" s="149"/>
      <c r="N34" s="149"/>
      <c r="O34" s="105"/>
    </row>
    <row r="35" ht="15.75" customHeight="1">
      <c r="A35" s="149"/>
      <c r="B35" s="149"/>
      <c r="C35" s="153"/>
      <c r="D35" s="154"/>
      <c r="E35" s="149"/>
      <c r="F35" s="153"/>
      <c r="G35" s="153"/>
      <c r="H35" s="149"/>
      <c r="I35" s="149"/>
      <c r="J35" s="153"/>
      <c r="K35" s="153"/>
      <c r="L35" s="149"/>
      <c r="M35" s="149"/>
      <c r="N35" s="149"/>
      <c r="O35" s="105"/>
    </row>
    <row r="36" ht="15.75" customHeight="1">
      <c r="A36" s="149"/>
      <c r="B36" s="149"/>
      <c r="C36" s="153"/>
      <c r="D36" s="154"/>
      <c r="E36" s="149"/>
      <c r="F36" s="153"/>
      <c r="G36" s="153"/>
      <c r="H36" s="149"/>
      <c r="I36" s="149"/>
      <c r="J36" s="153"/>
      <c r="K36" s="153"/>
      <c r="L36" s="149"/>
      <c r="M36" s="149"/>
      <c r="N36" s="149"/>
      <c r="O36" s="105"/>
    </row>
    <row r="37" ht="15.75" customHeight="1">
      <c r="A37" s="149"/>
      <c r="B37" s="149"/>
      <c r="C37" s="153"/>
      <c r="D37" s="154"/>
      <c r="E37" s="149"/>
      <c r="F37" s="153"/>
      <c r="G37" s="153"/>
      <c r="H37" s="149"/>
      <c r="I37" s="149"/>
      <c r="J37" s="153"/>
      <c r="K37" s="153"/>
      <c r="L37" s="149"/>
      <c r="M37" s="149"/>
      <c r="N37" s="149"/>
      <c r="O37" s="105"/>
    </row>
    <row r="38" ht="15.75" customHeight="1">
      <c r="A38" s="149"/>
      <c r="B38" s="149"/>
      <c r="C38" s="153"/>
      <c r="D38" s="154"/>
      <c r="E38" s="149"/>
      <c r="F38" s="153"/>
      <c r="G38" s="153"/>
      <c r="H38" s="149"/>
      <c r="I38" s="149"/>
      <c r="J38" s="153"/>
      <c r="K38" s="153"/>
      <c r="L38" s="149"/>
      <c r="M38" s="149"/>
      <c r="N38" s="149"/>
      <c r="O38" s="105"/>
    </row>
    <row r="39" ht="15.75" customHeight="1">
      <c r="A39" s="149"/>
      <c r="B39" s="149"/>
      <c r="C39" s="153"/>
      <c r="D39" s="154"/>
      <c r="E39" s="149"/>
      <c r="F39" s="153"/>
      <c r="G39" s="153"/>
      <c r="H39" s="149"/>
      <c r="I39" s="149"/>
      <c r="J39" s="153"/>
      <c r="K39" s="153"/>
      <c r="L39" s="149"/>
      <c r="M39" s="149"/>
      <c r="N39" s="149"/>
      <c r="O39" s="105"/>
    </row>
    <row r="40" ht="15.75" customHeight="1">
      <c r="A40" s="149"/>
      <c r="B40" s="149"/>
      <c r="C40" s="153"/>
      <c r="D40" s="154"/>
      <c r="E40" s="149"/>
      <c r="F40" s="153"/>
      <c r="G40" s="153"/>
      <c r="H40" s="149"/>
      <c r="I40" s="149"/>
      <c r="J40" s="153"/>
      <c r="K40" s="153"/>
      <c r="L40" s="149"/>
      <c r="M40" s="149"/>
      <c r="N40" s="149"/>
      <c r="O40" s="105"/>
    </row>
    <row r="41" ht="15.75" customHeight="1">
      <c r="A41" s="149"/>
      <c r="B41" s="149"/>
      <c r="C41" s="153"/>
      <c r="D41" s="154"/>
      <c r="E41" s="149"/>
      <c r="F41" s="153"/>
      <c r="G41" s="153"/>
      <c r="H41" s="149"/>
      <c r="I41" s="149"/>
      <c r="J41" s="153"/>
      <c r="K41" s="153"/>
      <c r="L41" s="149"/>
      <c r="M41" s="149"/>
      <c r="N41" s="149"/>
      <c r="O41" s="105"/>
    </row>
    <row r="42" ht="15.75" customHeight="1">
      <c r="A42" s="149"/>
      <c r="B42" s="149"/>
      <c r="C42" s="153"/>
      <c r="D42" s="154"/>
      <c r="E42" s="149"/>
      <c r="F42" s="153"/>
      <c r="G42" s="153"/>
      <c r="H42" s="149"/>
      <c r="I42" s="149"/>
      <c r="J42" s="153"/>
      <c r="K42" s="153"/>
      <c r="L42" s="149"/>
      <c r="M42" s="149"/>
      <c r="N42" s="149"/>
      <c r="O42" s="105"/>
    </row>
    <row r="43" ht="15.75" customHeight="1">
      <c r="A43" s="149"/>
      <c r="B43" s="149"/>
      <c r="C43" s="153"/>
      <c r="D43" s="154"/>
      <c r="E43" s="149"/>
      <c r="F43" s="153"/>
      <c r="G43" s="153"/>
      <c r="H43" s="149"/>
      <c r="I43" s="149"/>
      <c r="J43" s="153"/>
      <c r="K43" s="153"/>
      <c r="L43" s="149"/>
      <c r="M43" s="149"/>
      <c r="N43" s="149"/>
      <c r="O43" s="105"/>
    </row>
    <row r="44" ht="15.75" customHeight="1">
      <c r="A44" s="149"/>
      <c r="B44" s="149"/>
      <c r="C44" s="153"/>
      <c r="D44" s="154"/>
      <c r="E44" s="149"/>
      <c r="F44" s="153"/>
      <c r="G44" s="153"/>
      <c r="H44" s="149"/>
      <c r="I44" s="149"/>
      <c r="J44" s="153"/>
      <c r="K44" s="153"/>
      <c r="L44" s="149"/>
      <c r="M44" s="149"/>
      <c r="N44" s="149"/>
      <c r="O44" s="105"/>
    </row>
    <row r="45" ht="15.75" customHeight="1">
      <c r="A45" s="105"/>
      <c r="B45" s="149"/>
      <c r="C45" s="153"/>
      <c r="D45" s="154"/>
      <c r="E45" s="149"/>
      <c r="F45" s="153"/>
      <c r="G45" s="153"/>
      <c r="H45" s="149"/>
      <c r="I45" s="149"/>
      <c r="J45" s="153"/>
      <c r="K45" s="153"/>
      <c r="L45" s="149"/>
      <c r="M45" s="149"/>
      <c r="N45" s="149"/>
      <c r="O45" s="105"/>
    </row>
    <row r="46" ht="15.75" customHeight="1">
      <c r="A46" s="105"/>
      <c r="B46" s="105"/>
      <c r="C46" s="155"/>
      <c r="D46" s="156"/>
      <c r="E46" s="105"/>
      <c r="F46" s="155"/>
      <c r="G46" s="155"/>
      <c r="H46" s="149"/>
      <c r="I46" s="149"/>
      <c r="J46" s="153"/>
      <c r="K46" s="153"/>
      <c r="L46" s="149"/>
      <c r="M46" s="149"/>
      <c r="N46" s="149"/>
      <c r="O46" s="105"/>
    </row>
    <row r="47" ht="15.75" customHeight="1">
      <c r="A47" s="105"/>
      <c r="B47" s="105"/>
      <c r="C47" s="155"/>
      <c r="D47" s="156"/>
      <c r="E47" s="105"/>
      <c r="F47" s="155"/>
      <c r="G47" s="155"/>
      <c r="H47" s="149"/>
      <c r="I47" s="149"/>
      <c r="J47" s="153"/>
      <c r="K47" s="153"/>
      <c r="L47" s="149"/>
      <c r="M47" s="149"/>
      <c r="N47" s="149"/>
      <c r="O47" s="105"/>
    </row>
    <row r="48" ht="15.75" customHeight="1">
      <c r="A48" s="105"/>
      <c r="B48" s="105"/>
      <c r="C48" s="155"/>
      <c r="D48" s="156"/>
      <c r="E48" s="105"/>
      <c r="F48" s="155"/>
      <c r="G48" s="155"/>
      <c r="H48" s="149"/>
      <c r="I48" s="149"/>
      <c r="J48" s="153"/>
      <c r="K48" s="153"/>
      <c r="L48" s="149"/>
      <c r="M48" s="149"/>
      <c r="N48" s="149"/>
      <c r="O48" s="105"/>
    </row>
    <row r="49" ht="15.75" customHeight="1">
      <c r="A49" s="105"/>
      <c r="B49" s="105"/>
      <c r="C49" s="155"/>
      <c r="D49" s="156"/>
      <c r="E49" s="105"/>
      <c r="F49" s="155"/>
      <c r="G49" s="155"/>
      <c r="H49" s="149"/>
      <c r="I49" s="149"/>
      <c r="J49" s="153"/>
      <c r="K49" s="153"/>
      <c r="L49" s="149"/>
      <c r="M49" s="149"/>
      <c r="N49" s="149"/>
      <c r="O49" s="105"/>
    </row>
    <row r="50" ht="15.75" customHeight="1">
      <c r="A50" s="105"/>
      <c r="B50" s="105"/>
      <c r="C50" s="155"/>
      <c r="D50" s="156"/>
      <c r="E50" s="105"/>
      <c r="F50" s="155"/>
      <c r="G50" s="155"/>
      <c r="H50" s="149"/>
      <c r="I50" s="149"/>
      <c r="J50" s="153"/>
      <c r="K50" s="153"/>
      <c r="L50" s="149"/>
      <c r="M50" s="149"/>
      <c r="N50" s="149"/>
      <c r="O50" s="105"/>
    </row>
    <row r="51" ht="15.75" customHeight="1">
      <c r="A51" s="105"/>
      <c r="B51" s="105"/>
      <c r="C51" s="155"/>
      <c r="D51" s="156"/>
      <c r="E51" s="105"/>
      <c r="F51" s="155"/>
      <c r="G51" s="155"/>
      <c r="H51" s="149"/>
      <c r="I51" s="149"/>
      <c r="J51" s="153"/>
      <c r="K51" s="153"/>
      <c r="L51" s="149"/>
      <c r="M51" s="149"/>
      <c r="N51" s="149"/>
      <c r="O51" s="105"/>
    </row>
    <row r="52" ht="15.75" customHeight="1">
      <c r="A52" s="105"/>
      <c r="B52" s="105"/>
      <c r="C52" s="155"/>
      <c r="D52" s="156"/>
      <c r="E52" s="105"/>
      <c r="F52" s="155"/>
      <c r="G52" s="155"/>
      <c r="H52" s="149"/>
      <c r="I52" s="149"/>
      <c r="J52" s="153"/>
      <c r="K52" s="153"/>
      <c r="L52" s="149"/>
      <c r="M52" s="149"/>
      <c r="N52" s="149"/>
      <c r="O52" s="105"/>
    </row>
    <row r="53" ht="15.75" customHeight="1">
      <c r="A53" s="105"/>
      <c r="B53" s="105"/>
      <c r="C53" s="155"/>
      <c r="D53" s="156"/>
      <c r="E53" s="105"/>
      <c r="F53" s="155"/>
      <c r="G53" s="155"/>
      <c r="H53" s="149"/>
      <c r="I53" s="149"/>
      <c r="J53" s="153"/>
      <c r="K53" s="153"/>
      <c r="L53" s="149"/>
      <c r="M53" s="149"/>
      <c r="N53" s="149"/>
      <c r="O53" s="105"/>
    </row>
    <row r="54" ht="15.75" customHeight="1">
      <c r="A54" s="105"/>
      <c r="B54" s="105"/>
      <c r="C54" s="155"/>
      <c r="D54" s="156"/>
      <c r="E54" s="105"/>
      <c r="F54" s="155"/>
      <c r="G54" s="155"/>
      <c r="H54" s="149"/>
      <c r="I54" s="149"/>
      <c r="J54" s="153"/>
      <c r="K54" s="153"/>
      <c r="L54" s="149"/>
      <c r="M54" s="149"/>
      <c r="N54" s="149"/>
      <c r="O54" s="105"/>
    </row>
    <row r="55" ht="15.75" customHeight="1">
      <c r="A55" s="105"/>
      <c r="B55" s="105"/>
      <c r="C55" s="155"/>
      <c r="D55" s="156"/>
      <c r="E55" s="105"/>
      <c r="F55" s="155"/>
      <c r="G55" s="155"/>
      <c r="H55" s="149"/>
      <c r="I55" s="149"/>
      <c r="J55" s="153"/>
      <c r="K55" s="153"/>
      <c r="L55" s="149"/>
      <c r="M55" s="149"/>
      <c r="N55" s="149"/>
      <c r="O55" s="105"/>
    </row>
    <row r="56" ht="15.75" customHeight="1">
      <c r="A56" s="105"/>
      <c r="B56" s="105"/>
      <c r="C56" s="155"/>
      <c r="D56" s="156"/>
      <c r="E56" s="105"/>
      <c r="F56" s="155"/>
      <c r="G56" s="155"/>
      <c r="H56" s="149"/>
      <c r="I56" s="149"/>
      <c r="J56" s="153"/>
      <c r="K56" s="153"/>
      <c r="L56" s="149"/>
      <c r="M56" s="149"/>
      <c r="N56" s="149"/>
      <c r="O56" s="105"/>
    </row>
    <row r="57" ht="15.75" customHeight="1">
      <c r="A57" s="105"/>
      <c r="B57" s="105"/>
      <c r="C57" s="155"/>
      <c r="D57" s="156"/>
      <c r="E57" s="105"/>
      <c r="F57" s="155"/>
      <c r="G57" s="155"/>
      <c r="H57" s="149"/>
      <c r="I57" s="149"/>
      <c r="J57" s="153"/>
      <c r="K57" s="153"/>
      <c r="L57" s="149"/>
      <c r="M57" s="149"/>
      <c r="N57" s="149"/>
      <c r="O57" s="105"/>
    </row>
    <row r="58" ht="15.75" customHeight="1">
      <c r="A58" s="105"/>
      <c r="B58" s="105"/>
      <c r="C58" s="155"/>
      <c r="D58" s="156"/>
      <c r="E58" s="105"/>
      <c r="F58" s="155"/>
      <c r="G58" s="155"/>
      <c r="H58" s="149"/>
      <c r="I58" s="149"/>
      <c r="J58" s="153"/>
      <c r="K58" s="153"/>
      <c r="L58" s="149"/>
      <c r="M58" s="149"/>
      <c r="N58" s="149"/>
      <c r="O58" s="105"/>
    </row>
    <row r="59" ht="15.75" customHeight="1">
      <c r="A59" s="105"/>
      <c r="B59" s="105"/>
      <c r="C59" s="155"/>
      <c r="D59" s="156"/>
      <c r="E59" s="105"/>
      <c r="F59" s="155"/>
      <c r="G59" s="155"/>
      <c r="H59" s="149"/>
      <c r="I59" s="149"/>
      <c r="J59" s="153"/>
      <c r="K59" s="153"/>
      <c r="L59" s="149"/>
      <c r="M59" s="149"/>
      <c r="N59" s="149"/>
      <c r="O59" s="105"/>
    </row>
    <row r="60" ht="15.75" customHeight="1">
      <c r="A60" s="105"/>
      <c r="B60" s="105"/>
      <c r="C60" s="155"/>
      <c r="D60" s="156"/>
      <c r="E60" s="105"/>
      <c r="F60" s="155"/>
      <c r="G60" s="155"/>
      <c r="H60" s="105"/>
      <c r="I60" s="105"/>
      <c r="J60" s="155"/>
      <c r="K60" s="155"/>
      <c r="L60" s="105"/>
      <c r="N60" s="105"/>
      <c r="O60" s="105"/>
    </row>
    <row r="61" ht="15.75" customHeight="1">
      <c r="A61" s="105"/>
      <c r="B61" s="105"/>
      <c r="C61" s="155"/>
      <c r="D61" s="156"/>
      <c r="E61" s="105"/>
      <c r="F61" s="155"/>
      <c r="G61" s="155"/>
      <c r="H61" s="105"/>
      <c r="I61" s="105"/>
      <c r="J61" s="155"/>
      <c r="K61" s="155"/>
      <c r="L61" s="105"/>
      <c r="N61" s="105"/>
      <c r="O61" s="105"/>
    </row>
    <row r="62" ht="15.75" customHeight="1">
      <c r="A62" s="105"/>
      <c r="B62" s="105"/>
      <c r="C62" s="155"/>
      <c r="D62" s="156"/>
      <c r="E62" s="105"/>
      <c r="F62" s="155"/>
      <c r="G62" s="155"/>
      <c r="H62" s="105"/>
      <c r="I62" s="105"/>
      <c r="J62" s="155"/>
      <c r="K62" s="155"/>
      <c r="L62" s="105"/>
      <c r="N62" s="105"/>
      <c r="O62" s="105"/>
    </row>
    <row r="63" ht="15.75" customHeight="1">
      <c r="C63" s="157"/>
      <c r="D63" s="158"/>
      <c r="L63" s="159"/>
    </row>
    <row r="64" ht="15.75" customHeight="1">
      <c r="C64" s="157"/>
      <c r="D64" s="158"/>
      <c r="L64" s="159"/>
    </row>
    <row r="65" ht="15.75" customHeight="1">
      <c r="C65" s="157"/>
      <c r="D65" s="158"/>
      <c r="L65" s="159"/>
    </row>
    <row r="66" ht="15.75" customHeight="1">
      <c r="C66" s="157"/>
      <c r="D66" s="158"/>
      <c r="L66" s="159"/>
    </row>
    <row r="67" ht="15.75" customHeight="1">
      <c r="C67" s="157"/>
      <c r="D67" s="158"/>
      <c r="L67" s="159"/>
    </row>
    <row r="68" ht="15.75" customHeight="1">
      <c r="C68" s="157"/>
      <c r="D68" s="158"/>
      <c r="L68" s="159"/>
    </row>
    <row r="69" ht="15.75" customHeight="1">
      <c r="C69" s="157"/>
      <c r="D69" s="158"/>
      <c r="L69" s="159"/>
    </row>
    <row r="70" ht="15.75" customHeight="1">
      <c r="C70" s="157"/>
      <c r="D70" s="158"/>
      <c r="L70" s="159"/>
    </row>
    <row r="71" ht="15.75" customHeight="1">
      <c r="C71" s="157"/>
      <c r="D71" s="158"/>
      <c r="L71" s="159"/>
    </row>
    <row r="72" ht="15.75" customHeight="1">
      <c r="C72" s="157"/>
      <c r="D72" s="158"/>
      <c r="L72" s="159"/>
    </row>
    <row r="73" ht="15.75" customHeight="1">
      <c r="C73" s="157"/>
      <c r="D73" s="158"/>
      <c r="L73" s="159"/>
    </row>
    <row r="74" ht="15.75" customHeight="1">
      <c r="C74" s="157"/>
      <c r="D74" s="158"/>
      <c r="L74" s="159"/>
    </row>
    <row r="75" ht="15.75" customHeight="1">
      <c r="C75" s="157"/>
      <c r="D75" s="158"/>
      <c r="L75" s="159"/>
    </row>
    <row r="76" ht="15.75" customHeight="1">
      <c r="C76" s="157"/>
      <c r="D76" s="158"/>
      <c r="L76" s="159"/>
    </row>
    <row r="77" ht="15.75" customHeight="1">
      <c r="C77" s="157"/>
      <c r="D77" s="158"/>
      <c r="L77" s="159"/>
    </row>
    <row r="78" ht="15.75" customHeight="1">
      <c r="C78" s="157"/>
      <c r="D78" s="158"/>
      <c r="L78" s="159"/>
    </row>
    <row r="79" ht="15.75" customHeight="1">
      <c r="C79" s="157"/>
      <c r="D79" s="158"/>
      <c r="L79" s="159"/>
    </row>
    <row r="80" ht="15.75" customHeight="1">
      <c r="C80" s="157"/>
      <c r="D80" s="158"/>
      <c r="L80" s="159"/>
    </row>
    <row r="81" ht="15.75" customHeight="1">
      <c r="C81" s="157"/>
      <c r="D81" s="158"/>
      <c r="L81" s="159"/>
    </row>
    <row r="82" ht="15.75" customHeight="1">
      <c r="C82" s="157"/>
      <c r="D82" s="158"/>
      <c r="L82" s="159"/>
    </row>
    <row r="83" ht="15.75" customHeight="1">
      <c r="C83" s="157"/>
      <c r="D83" s="158"/>
      <c r="L83" s="159"/>
    </row>
    <row r="84" ht="15.75" customHeight="1">
      <c r="C84" s="157"/>
      <c r="D84" s="158"/>
      <c r="L84" s="159"/>
    </row>
    <row r="85" ht="15.75" customHeight="1">
      <c r="C85" s="157"/>
      <c r="D85" s="158"/>
      <c r="L85" s="159"/>
    </row>
    <row r="86" ht="15.75" customHeight="1">
      <c r="C86" s="157"/>
      <c r="D86" s="158"/>
      <c r="L86" s="159"/>
    </row>
    <row r="87" ht="15.75" customHeight="1">
      <c r="C87" s="157"/>
      <c r="D87" s="158"/>
      <c r="L87" s="159"/>
    </row>
    <row r="88" ht="15.75" customHeight="1">
      <c r="C88" s="157"/>
      <c r="D88" s="158"/>
      <c r="L88" s="159"/>
    </row>
    <row r="89" ht="15.75" customHeight="1">
      <c r="C89" s="157"/>
      <c r="D89" s="158"/>
      <c r="L89" s="159"/>
    </row>
    <row r="90" ht="15.75" customHeight="1">
      <c r="C90" s="157"/>
      <c r="D90" s="158"/>
      <c r="L90" s="159"/>
    </row>
    <row r="91" ht="15.75" customHeight="1">
      <c r="C91" s="157"/>
      <c r="D91" s="158"/>
      <c r="L91" s="159"/>
    </row>
    <row r="92" ht="15.75" customHeight="1">
      <c r="C92" s="157"/>
      <c r="D92" s="158"/>
      <c r="L92" s="159"/>
    </row>
    <row r="93" ht="15.75" customHeight="1">
      <c r="C93" s="157"/>
      <c r="D93" s="158"/>
      <c r="L93" s="159"/>
    </row>
    <row r="94" ht="15.75" customHeight="1">
      <c r="C94" s="157"/>
      <c r="D94" s="158"/>
      <c r="L94" s="159"/>
    </row>
    <row r="95" ht="15.75" customHeight="1">
      <c r="C95" s="157"/>
      <c r="D95" s="158"/>
      <c r="L95" s="159"/>
    </row>
    <row r="96" ht="15.75" customHeight="1">
      <c r="C96" s="157"/>
      <c r="D96" s="158"/>
      <c r="L96" s="159"/>
    </row>
    <row r="97" ht="15.75" customHeight="1">
      <c r="C97" s="157"/>
      <c r="D97" s="158"/>
      <c r="L97" s="159"/>
    </row>
    <row r="98" ht="15.75" customHeight="1">
      <c r="C98" s="157"/>
      <c r="D98" s="158"/>
      <c r="L98" s="159"/>
    </row>
    <row r="99" ht="15.75" customHeight="1">
      <c r="C99" s="157"/>
      <c r="D99" s="158"/>
      <c r="L99" s="159"/>
    </row>
    <row r="100" ht="15.75" customHeight="1">
      <c r="C100" s="157"/>
      <c r="D100" s="158"/>
      <c r="L100" s="159"/>
    </row>
    <row r="101" ht="15.75" customHeight="1">
      <c r="C101" s="157"/>
      <c r="D101" s="158"/>
      <c r="L101" s="159"/>
    </row>
    <row r="102" ht="15.75" customHeight="1">
      <c r="C102" s="157"/>
      <c r="D102" s="158"/>
      <c r="L102" s="159"/>
    </row>
    <row r="103" ht="15.75" customHeight="1">
      <c r="C103" s="157"/>
      <c r="D103" s="158"/>
      <c r="L103" s="159"/>
    </row>
    <row r="104" ht="15.75" customHeight="1">
      <c r="C104" s="157"/>
      <c r="D104" s="158"/>
      <c r="L104" s="159"/>
    </row>
    <row r="105" ht="15.75" customHeight="1">
      <c r="C105" s="157"/>
      <c r="D105" s="158"/>
      <c r="L105" s="159"/>
    </row>
    <row r="106" ht="15.75" customHeight="1">
      <c r="C106" s="157"/>
      <c r="D106" s="158"/>
      <c r="L106" s="159"/>
    </row>
    <row r="107" ht="15.75" customHeight="1">
      <c r="C107" s="157"/>
      <c r="D107" s="158"/>
      <c r="L107" s="159"/>
    </row>
    <row r="108" ht="15.75" customHeight="1">
      <c r="C108" s="157"/>
      <c r="D108" s="158"/>
      <c r="L108" s="159"/>
    </row>
    <row r="109" ht="15.75" customHeight="1">
      <c r="C109" s="157"/>
      <c r="D109" s="158"/>
      <c r="L109" s="159"/>
    </row>
    <row r="110" ht="15.75" customHeight="1">
      <c r="C110" s="157"/>
      <c r="D110" s="158"/>
      <c r="L110" s="159"/>
    </row>
    <row r="111" ht="15.75" customHeight="1">
      <c r="C111" s="157"/>
      <c r="D111" s="158"/>
      <c r="L111" s="159"/>
    </row>
    <row r="112" ht="15.75" customHeight="1">
      <c r="C112" s="157"/>
      <c r="D112" s="158"/>
      <c r="L112" s="159"/>
    </row>
    <row r="113" ht="15.75" customHeight="1">
      <c r="C113" s="157"/>
      <c r="D113" s="158"/>
      <c r="L113" s="159"/>
    </row>
    <row r="114" ht="15.75" customHeight="1">
      <c r="C114" s="157"/>
      <c r="D114" s="158"/>
      <c r="L114" s="159"/>
    </row>
    <row r="115" ht="15.75" customHeight="1">
      <c r="C115" s="157"/>
      <c r="D115" s="158"/>
      <c r="L115" s="159"/>
    </row>
    <row r="116" ht="15.75" customHeight="1">
      <c r="C116" s="157"/>
      <c r="D116" s="158"/>
      <c r="L116" s="159"/>
    </row>
    <row r="117" ht="15.75" customHeight="1">
      <c r="C117" s="157"/>
      <c r="D117" s="158"/>
      <c r="L117" s="159"/>
    </row>
    <row r="118" ht="15.75" customHeight="1">
      <c r="C118" s="157"/>
      <c r="D118" s="158"/>
      <c r="L118" s="159"/>
    </row>
    <row r="119" ht="15.75" customHeight="1">
      <c r="C119" s="157"/>
      <c r="D119" s="158"/>
      <c r="L119" s="159"/>
    </row>
    <row r="120" ht="15.75" customHeight="1">
      <c r="C120" s="157"/>
      <c r="D120" s="158"/>
      <c r="L120" s="159"/>
    </row>
    <row r="121" ht="15.75" customHeight="1">
      <c r="C121" s="157"/>
      <c r="D121" s="158"/>
      <c r="L121" s="159"/>
    </row>
    <row r="122" ht="15.75" customHeight="1">
      <c r="C122" s="157"/>
      <c r="D122" s="158"/>
      <c r="L122" s="159"/>
    </row>
    <row r="123" ht="15.75" customHeight="1">
      <c r="C123" s="157"/>
      <c r="D123" s="158"/>
      <c r="L123" s="159"/>
    </row>
    <row r="124" ht="15.75" customHeight="1">
      <c r="C124" s="157"/>
      <c r="D124" s="158"/>
      <c r="L124" s="159"/>
    </row>
    <row r="125" ht="15.75" customHeight="1">
      <c r="C125" s="157"/>
      <c r="D125" s="158"/>
      <c r="L125" s="159"/>
    </row>
    <row r="126" ht="15.75" customHeight="1">
      <c r="C126" s="157"/>
      <c r="D126" s="158"/>
      <c r="L126" s="159"/>
    </row>
    <row r="127" ht="15.75" customHeight="1">
      <c r="C127" s="157"/>
      <c r="D127" s="158"/>
      <c r="L127" s="159"/>
    </row>
    <row r="128" ht="15.75" customHeight="1">
      <c r="C128" s="157"/>
      <c r="D128" s="158"/>
      <c r="L128" s="159"/>
    </row>
    <row r="129" ht="15.75" customHeight="1">
      <c r="C129" s="157"/>
      <c r="D129" s="158"/>
      <c r="L129" s="159"/>
    </row>
    <row r="130" ht="15.75" customHeight="1">
      <c r="C130" s="157"/>
      <c r="D130" s="158"/>
      <c r="L130" s="159"/>
    </row>
    <row r="131" ht="15.75" customHeight="1">
      <c r="C131" s="157"/>
      <c r="D131" s="158"/>
      <c r="L131" s="159"/>
    </row>
    <row r="132" ht="15.75" customHeight="1">
      <c r="C132" s="157"/>
      <c r="D132" s="158"/>
      <c r="L132" s="159"/>
    </row>
    <row r="133" ht="15.75" customHeight="1">
      <c r="C133" s="157"/>
      <c r="D133" s="158"/>
      <c r="L133" s="159"/>
    </row>
    <row r="134" ht="15.75" customHeight="1">
      <c r="C134" s="157"/>
      <c r="D134" s="158"/>
      <c r="L134" s="159"/>
    </row>
    <row r="135" ht="15.75" customHeight="1">
      <c r="C135" s="157"/>
      <c r="D135" s="158"/>
      <c r="L135" s="159"/>
    </row>
    <row r="136" ht="15.75" customHeight="1">
      <c r="C136" s="157"/>
      <c r="D136" s="158"/>
      <c r="L136" s="159"/>
    </row>
    <row r="137" ht="15.75" customHeight="1">
      <c r="C137" s="157"/>
      <c r="D137" s="158"/>
      <c r="L137" s="159"/>
    </row>
    <row r="138" ht="15.75" customHeight="1">
      <c r="C138" s="157"/>
      <c r="D138" s="158"/>
      <c r="L138" s="159"/>
    </row>
    <row r="139" ht="15.75" customHeight="1">
      <c r="C139" s="157"/>
      <c r="D139" s="158"/>
      <c r="L139" s="159"/>
    </row>
    <row r="140" ht="15.75" customHeight="1">
      <c r="C140" s="157"/>
      <c r="D140" s="158"/>
      <c r="L140" s="159"/>
    </row>
    <row r="141" ht="15.75" customHeight="1">
      <c r="C141" s="157"/>
      <c r="D141" s="158"/>
      <c r="L141" s="159"/>
    </row>
    <row r="142" ht="15.75" customHeight="1">
      <c r="C142" s="157"/>
      <c r="D142" s="158"/>
      <c r="L142" s="159"/>
    </row>
    <row r="143" ht="15.75" customHeight="1">
      <c r="C143" s="157"/>
      <c r="D143" s="158"/>
      <c r="L143" s="159"/>
    </row>
    <row r="144" ht="15.75" customHeight="1">
      <c r="C144" s="157"/>
      <c r="D144" s="158"/>
      <c r="L144" s="159"/>
    </row>
    <row r="145" ht="15.75" customHeight="1">
      <c r="C145" s="157"/>
      <c r="D145" s="158"/>
      <c r="L145" s="159"/>
    </row>
    <row r="146" ht="15.75" customHeight="1">
      <c r="C146" s="157"/>
      <c r="D146" s="158"/>
      <c r="L146" s="159"/>
    </row>
    <row r="147" ht="15.75" customHeight="1">
      <c r="C147" s="157"/>
      <c r="D147" s="158"/>
      <c r="L147" s="159"/>
    </row>
    <row r="148" ht="15.75" customHeight="1">
      <c r="C148" s="157"/>
      <c r="D148" s="158"/>
      <c r="L148" s="159"/>
    </row>
    <row r="149" ht="15.75" customHeight="1">
      <c r="C149" s="157"/>
      <c r="D149" s="158"/>
      <c r="L149" s="159"/>
    </row>
    <row r="150" ht="15.75" customHeight="1">
      <c r="C150" s="157"/>
      <c r="D150" s="158"/>
      <c r="L150" s="159"/>
    </row>
    <row r="151" ht="15.75" customHeight="1">
      <c r="C151" s="157"/>
      <c r="D151" s="158"/>
      <c r="L151" s="159"/>
    </row>
    <row r="152" ht="15.75" customHeight="1">
      <c r="C152" s="157"/>
      <c r="D152" s="158"/>
      <c r="L152" s="159"/>
    </row>
    <row r="153" ht="15.75" customHeight="1">
      <c r="C153" s="157"/>
      <c r="D153" s="158"/>
      <c r="L153" s="159"/>
    </row>
    <row r="154" ht="15.75" customHeight="1">
      <c r="C154" s="157"/>
      <c r="D154" s="158"/>
      <c r="L154" s="159"/>
    </row>
    <row r="155" ht="15.75" customHeight="1">
      <c r="C155" s="157"/>
      <c r="D155" s="158"/>
      <c r="L155" s="159"/>
    </row>
    <row r="156" ht="15.75" customHeight="1">
      <c r="C156" s="157"/>
      <c r="D156" s="158"/>
      <c r="L156" s="159"/>
    </row>
    <row r="157" ht="15.75" customHeight="1">
      <c r="C157" s="157"/>
      <c r="D157" s="158"/>
      <c r="L157" s="159"/>
    </row>
    <row r="158" ht="15.75" customHeight="1">
      <c r="C158" s="157"/>
      <c r="D158" s="158"/>
      <c r="L158" s="159"/>
    </row>
    <row r="159" ht="15.75" customHeight="1">
      <c r="C159" s="157"/>
      <c r="D159" s="158"/>
      <c r="L159" s="159"/>
    </row>
    <row r="160" ht="15.75" customHeight="1">
      <c r="C160" s="157"/>
      <c r="D160" s="158"/>
      <c r="L160" s="159"/>
    </row>
    <row r="161" ht="15.75" customHeight="1">
      <c r="C161" s="157"/>
      <c r="D161" s="158"/>
      <c r="L161" s="159"/>
    </row>
    <row r="162" ht="15.75" customHeight="1">
      <c r="C162" s="157"/>
      <c r="D162" s="158"/>
      <c r="L162" s="159"/>
    </row>
    <row r="163" ht="15.75" customHeight="1">
      <c r="C163" s="157"/>
      <c r="D163" s="158"/>
      <c r="L163" s="159"/>
    </row>
    <row r="164" ht="15.75" customHeight="1">
      <c r="C164" s="157"/>
      <c r="D164" s="158"/>
      <c r="L164" s="159"/>
    </row>
    <row r="165" ht="15.75" customHeight="1">
      <c r="C165" s="157"/>
      <c r="D165" s="158"/>
      <c r="L165" s="159"/>
    </row>
    <row r="166" ht="15.75" customHeight="1">
      <c r="C166" s="157"/>
      <c r="D166" s="158"/>
      <c r="L166" s="159"/>
    </row>
    <row r="167" ht="15.75" customHeight="1">
      <c r="C167" s="157"/>
      <c r="D167" s="158"/>
      <c r="L167" s="159"/>
    </row>
    <row r="168" ht="15.75" customHeight="1">
      <c r="C168" s="157"/>
      <c r="D168" s="158"/>
      <c r="L168" s="159"/>
    </row>
    <row r="169" ht="15.75" customHeight="1">
      <c r="C169" s="157"/>
      <c r="D169" s="158"/>
      <c r="L169" s="159"/>
    </row>
    <row r="170" ht="15.75" customHeight="1">
      <c r="C170" s="157"/>
      <c r="D170" s="158"/>
      <c r="L170" s="159"/>
    </row>
    <row r="171" ht="15.75" customHeight="1">
      <c r="C171" s="157"/>
      <c r="D171" s="158"/>
      <c r="L171" s="159"/>
    </row>
    <row r="172" ht="15.75" customHeight="1">
      <c r="C172" s="157"/>
      <c r="D172" s="158"/>
      <c r="L172" s="159"/>
    </row>
    <row r="173" ht="15.75" customHeight="1">
      <c r="C173" s="157"/>
      <c r="D173" s="158"/>
      <c r="L173" s="159"/>
    </row>
    <row r="174" ht="15.75" customHeight="1">
      <c r="C174" s="157"/>
      <c r="D174" s="158"/>
      <c r="L174" s="159"/>
    </row>
    <row r="175" ht="15.75" customHeight="1">
      <c r="C175" s="157"/>
      <c r="D175" s="158"/>
      <c r="L175" s="159"/>
    </row>
    <row r="176" ht="15.75" customHeight="1">
      <c r="C176" s="157"/>
      <c r="D176" s="158"/>
      <c r="L176" s="159"/>
    </row>
    <row r="177" ht="15.75" customHeight="1">
      <c r="C177" s="157"/>
      <c r="D177" s="158"/>
      <c r="L177" s="159"/>
    </row>
    <row r="178" ht="15.75" customHeight="1">
      <c r="C178" s="157"/>
      <c r="D178" s="158"/>
      <c r="L178" s="159"/>
    </row>
    <row r="179" ht="15.75" customHeight="1">
      <c r="C179" s="157"/>
      <c r="D179" s="158"/>
      <c r="L179" s="159"/>
    </row>
    <row r="180" ht="15.75" customHeight="1">
      <c r="C180" s="157"/>
      <c r="D180" s="158"/>
      <c r="L180" s="159"/>
    </row>
    <row r="181" ht="15.75" customHeight="1">
      <c r="C181" s="157"/>
      <c r="D181" s="158"/>
      <c r="L181" s="159"/>
    </row>
    <row r="182" ht="15.75" customHeight="1">
      <c r="C182" s="157"/>
      <c r="D182" s="158"/>
      <c r="L182" s="159"/>
    </row>
    <row r="183" ht="15.75" customHeight="1">
      <c r="C183" s="157"/>
      <c r="D183" s="158"/>
      <c r="L183" s="159"/>
    </row>
    <row r="184" ht="15.75" customHeight="1">
      <c r="C184" s="157"/>
      <c r="D184" s="158"/>
      <c r="L184" s="159"/>
    </row>
    <row r="185" ht="15.75" customHeight="1">
      <c r="C185" s="157"/>
      <c r="D185" s="158"/>
      <c r="L185" s="159"/>
    </row>
    <row r="186" ht="15.75" customHeight="1">
      <c r="C186" s="157"/>
      <c r="D186" s="158"/>
      <c r="L186" s="159"/>
    </row>
    <row r="187" ht="15.75" customHeight="1">
      <c r="C187" s="157"/>
      <c r="D187" s="158"/>
      <c r="L187" s="159"/>
    </row>
    <row r="188" ht="15.75" customHeight="1">
      <c r="C188" s="157"/>
      <c r="D188" s="158"/>
      <c r="L188" s="159"/>
    </row>
    <row r="189" ht="15.75" customHeight="1">
      <c r="C189" s="157"/>
      <c r="D189" s="158"/>
      <c r="L189" s="159"/>
    </row>
    <row r="190" ht="15.75" customHeight="1">
      <c r="C190" s="157"/>
      <c r="D190" s="158"/>
      <c r="L190" s="159"/>
    </row>
    <row r="191" ht="15.75" customHeight="1">
      <c r="C191" s="157"/>
      <c r="D191" s="158"/>
      <c r="L191" s="159"/>
    </row>
    <row r="192" ht="15.75" customHeight="1">
      <c r="C192" s="157"/>
      <c r="D192" s="158"/>
      <c r="L192" s="159"/>
    </row>
    <row r="193" ht="15.75" customHeight="1">
      <c r="C193" s="157"/>
      <c r="D193" s="158"/>
      <c r="L193" s="159"/>
    </row>
    <row r="194" ht="15.75" customHeight="1">
      <c r="C194" s="157"/>
      <c r="D194" s="158"/>
      <c r="L194" s="159"/>
    </row>
    <row r="195" ht="15.75" customHeight="1">
      <c r="C195" s="157"/>
      <c r="D195" s="158"/>
      <c r="L195" s="159"/>
    </row>
    <row r="196" ht="15.75" customHeight="1">
      <c r="C196" s="157"/>
      <c r="D196" s="158"/>
      <c r="L196" s="159"/>
    </row>
    <row r="197" ht="15.75" customHeight="1">
      <c r="C197" s="157"/>
      <c r="D197" s="158"/>
      <c r="L197" s="159"/>
    </row>
    <row r="198" ht="15.75" customHeight="1">
      <c r="C198" s="157"/>
      <c r="D198" s="158"/>
      <c r="L198" s="159"/>
    </row>
    <row r="199" ht="15.75" customHeight="1">
      <c r="C199" s="157"/>
      <c r="D199" s="158"/>
      <c r="L199" s="159"/>
    </row>
    <row r="200" ht="15.75" customHeight="1">
      <c r="C200" s="157"/>
      <c r="D200" s="158"/>
      <c r="L200" s="159"/>
    </row>
    <row r="201" ht="15.75" customHeight="1">
      <c r="C201" s="157"/>
      <c r="D201" s="158"/>
      <c r="L201" s="159"/>
    </row>
    <row r="202" ht="15.75" customHeight="1">
      <c r="C202" s="157"/>
      <c r="D202" s="158"/>
      <c r="L202" s="159"/>
    </row>
    <row r="203" ht="15.75" customHeight="1">
      <c r="C203" s="157"/>
      <c r="D203" s="158"/>
      <c r="L203" s="159"/>
    </row>
    <row r="204" ht="15.75" customHeight="1">
      <c r="C204" s="157"/>
      <c r="D204" s="158"/>
      <c r="L204" s="159"/>
    </row>
    <row r="205" ht="15.75" customHeight="1">
      <c r="C205" s="157"/>
      <c r="D205" s="158"/>
      <c r="L205" s="159"/>
    </row>
    <row r="206" ht="15.75" customHeight="1">
      <c r="C206" s="157"/>
      <c r="D206" s="158"/>
      <c r="L206" s="159"/>
    </row>
    <row r="207" ht="15.75" customHeight="1">
      <c r="C207" s="157"/>
      <c r="D207" s="158"/>
      <c r="L207" s="159"/>
    </row>
    <row r="208" ht="15.75" customHeight="1">
      <c r="C208" s="157"/>
      <c r="D208" s="158"/>
      <c r="L208" s="159"/>
    </row>
    <row r="209" ht="15.75" customHeight="1">
      <c r="C209" s="157"/>
      <c r="D209" s="158"/>
      <c r="L209" s="159"/>
    </row>
    <row r="210" ht="15.75" customHeight="1">
      <c r="C210" s="157"/>
      <c r="D210" s="158"/>
      <c r="L210" s="159"/>
    </row>
    <row r="211" ht="15.75" customHeight="1">
      <c r="C211" s="157"/>
      <c r="D211" s="158"/>
      <c r="L211" s="159"/>
    </row>
    <row r="212" ht="15.75" customHeight="1">
      <c r="C212" s="157"/>
      <c r="D212" s="158"/>
      <c r="L212" s="159"/>
    </row>
    <row r="213" ht="15.75" customHeight="1">
      <c r="C213" s="157"/>
      <c r="D213" s="158"/>
      <c r="L213" s="159"/>
    </row>
    <row r="214" ht="15.75" customHeight="1">
      <c r="C214" s="157"/>
      <c r="D214" s="158"/>
      <c r="L214" s="159"/>
    </row>
    <row r="215" ht="15.75" customHeight="1">
      <c r="C215" s="157"/>
      <c r="D215" s="158"/>
      <c r="L215" s="159"/>
    </row>
    <row r="216" ht="15.75" customHeight="1">
      <c r="C216" s="157"/>
      <c r="D216" s="158"/>
      <c r="L216" s="159"/>
    </row>
    <row r="217" ht="15.75" customHeight="1">
      <c r="C217" s="157"/>
      <c r="D217" s="158"/>
      <c r="L217" s="159"/>
    </row>
    <row r="218" ht="15.75" customHeight="1">
      <c r="C218" s="157"/>
      <c r="D218" s="158"/>
      <c r="L218" s="159"/>
    </row>
    <row r="219" ht="15.75" customHeight="1">
      <c r="C219" s="157"/>
      <c r="D219" s="158"/>
      <c r="L219" s="159"/>
    </row>
    <row r="220" ht="15.75" customHeight="1">
      <c r="C220" s="157"/>
      <c r="D220" s="158"/>
      <c r="L220" s="159"/>
    </row>
    <row r="221" ht="15.75" customHeight="1">
      <c r="C221" s="157"/>
      <c r="D221" s="158"/>
      <c r="L221" s="159"/>
    </row>
    <row r="222" ht="15.75" customHeight="1">
      <c r="C222" s="157"/>
      <c r="D222" s="158"/>
      <c r="L222" s="159"/>
    </row>
    <row r="223" ht="15.75" customHeight="1">
      <c r="C223" s="157"/>
      <c r="D223" s="158"/>
      <c r="L223" s="159"/>
    </row>
    <row r="224" ht="15.75" customHeight="1">
      <c r="C224" s="157"/>
      <c r="D224" s="158"/>
      <c r="L224" s="159"/>
    </row>
    <row r="225" ht="15.75" customHeight="1">
      <c r="C225" s="157"/>
      <c r="D225" s="158"/>
      <c r="L225" s="159"/>
    </row>
    <row r="226" ht="15.75" customHeight="1">
      <c r="C226" s="157"/>
      <c r="D226" s="158"/>
      <c r="L226" s="159"/>
    </row>
    <row r="227" ht="15.75" customHeight="1">
      <c r="C227" s="157"/>
      <c r="D227" s="158"/>
      <c r="L227" s="15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N5:N6"/>
    <mergeCell ref="L7:L14"/>
    <mergeCell ref="L60:M60"/>
    <mergeCell ref="L61:M61"/>
    <mergeCell ref="L62:M62"/>
    <mergeCell ref="C15:C18"/>
    <mergeCell ref="L15:L18"/>
    <mergeCell ref="O15:O19"/>
    <mergeCell ref="C20:C26"/>
    <mergeCell ref="L20:L26"/>
    <mergeCell ref="C3:M3"/>
    <mergeCell ref="B5:B6"/>
    <mergeCell ref="C5:C6"/>
    <mergeCell ref="D5:D6"/>
    <mergeCell ref="E5:H5"/>
    <mergeCell ref="I5:M5"/>
    <mergeCell ref="C7:C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22.5"/>
    <col customWidth="1" min="4" max="4" width="37.38"/>
    <col customWidth="1" min="5" max="5" width="14.38"/>
    <col customWidth="1" min="6" max="6" width="52.0"/>
    <col customWidth="1" min="7" max="7" width="16.0"/>
    <col customWidth="1" min="8" max="8" width="39.5"/>
    <col customWidth="1" min="9" max="9" width="46.38"/>
  </cols>
  <sheetData>
    <row r="1" ht="15.75" customHeight="1">
      <c r="A1" s="160" t="s">
        <v>533</v>
      </c>
      <c r="B1" s="24"/>
      <c r="C1" s="161"/>
      <c r="D1" s="162" t="s">
        <v>534</v>
      </c>
      <c r="E1" s="163"/>
      <c r="F1" s="164" t="s">
        <v>535</v>
      </c>
      <c r="G1" s="160" t="s">
        <v>536</v>
      </c>
      <c r="H1" s="24"/>
      <c r="I1" s="160" t="s">
        <v>537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24"/>
      <c r="B2" s="24"/>
      <c r="C2" s="161"/>
      <c r="D2" s="163"/>
      <c r="E2" s="163"/>
      <c r="F2" s="165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A3" s="24"/>
      <c r="B3" s="24"/>
      <c r="C3" s="161"/>
      <c r="D3" s="163"/>
      <c r="E3" s="163"/>
      <c r="F3" s="165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75" customHeight="1">
      <c r="A4" s="24"/>
      <c r="B4" s="24"/>
      <c r="C4" s="161"/>
      <c r="D4" s="163"/>
      <c r="E4" s="163"/>
      <c r="F4" s="165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24"/>
      <c r="B5" s="24"/>
      <c r="C5" s="161"/>
      <c r="D5" s="163"/>
      <c r="E5" s="163"/>
      <c r="F5" s="165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24"/>
      <c r="B6" s="24"/>
      <c r="C6" s="161"/>
      <c r="D6" s="163"/>
      <c r="E6" s="163"/>
      <c r="F6" s="165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24"/>
      <c r="C7" s="161"/>
      <c r="D7" s="163"/>
      <c r="E7" s="163"/>
      <c r="F7" s="16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4"/>
      <c r="C8" s="161"/>
      <c r="D8" s="163"/>
      <c r="E8" s="163"/>
      <c r="F8" s="165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24"/>
      <c r="B9" s="24"/>
      <c r="C9" s="161"/>
      <c r="D9" s="163"/>
      <c r="E9" s="163"/>
      <c r="F9" s="16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24"/>
      <c r="B10" s="24"/>
      <c r="C10" s="161"/>
      <c r="D10" s="163"/>
      <c r="E10" s="163"/>
      <c r="F10" s="165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24"/>
      <c r="B11" s="24"/>
      <c r="C11" s="161"/>
      <c r="D11" s="163"/>
      <c r="E11" s="163"/>
      <c r="F11" s="165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24"/>
      <c r="B12" s="24"/>
      <c r="C12" s="161"/>
      <c r="D12" s="163"/>
      <c r="E12" s="163"/>
      <c r="F12" s="165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24"/>
      <c r="B13" s="24"/>
      <c r="C13" s="161"/>
      <c r="D13" s="163"/>
      <c r="E13" s="163"/>
      <c r="F13" s="16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24"/>
      <c r="B14" s="24"/>
      <c r="C14" s="161"/>
      <c r="D14" s="163"/>
      <c r="E14" s="163"/>
      <c r="F14" s="165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24"/>
      <c r="B15" s="24"/>
      <c r="C15" s="161"/>
      <c r="D15" s="163"/>
      <c r="E15" s="163"/>
      <c r="F15" s="165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24"/>
      <c r="B16" s="24"/>
      <c r="C16" s="161"/>
      <c r="D16" s="163"/>
      <c r="E16" s="163"/>
      <c r="F16" s="165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24"/>
      <c r="B17" s="24"/>
      <c r="C17" s="161"/>
      <c r="D17" s="163"/>
      <c r="E17" s="163"/>
      <c r="F17" s="16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24"/>
      <c r="B18" s="24"/>
      <c r="C18" s="161"/>
      <c r="D18" s="163"/>
      <c r="E18" s="163"/>
      <c r="F18" s="165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24"/>
      <c r="B19" s="24"/>
      <c r="C19" s="161"/>
      <c r="D19" s="163"/>
      <c r="E19" s="163"/>
      <c r="F19" s="165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24"/>
      <c r="B20" s="24"/>
      <c r="C20" s="161"/>
      <c r="D20" s="163"/>
      <c r="E20" s="163"/>
      <c r="F20" s="165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161"/>
      <c r="D21" s="163"/>
      <c r="E21" s="163"/>
      <c r="F21" s="165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161"/>
      <c r="D22" s="163"/>
      <c r="E22" s="163"/>
      <c r="F22" s="1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161"/>
      <c r="D23" s="163"/>
      <c r="E23" s="163"/>
      <c r="F23" s="1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161"/>
      <c r="D24" s="163"/>
      <c r="E24" s="163"/>
      <c r="F24" s="165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161"/>
      <c r="D25" s="163"/>
      <c r="E25" s="163"/>
      <c r="F25" s="165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161"/>
      <c r="D26" s="163"/>
      <c r="E26" s="163"/>
      <c r="F26" s="165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161"/>
      <c r="D27" s="163"/>
      <c r="E27" s="163"/>
      <c r="F27" s="165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161"/>
      <c r="D28" s="163"/>
      <c r="E28" s="163"/>
      <c r="F28" s="165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161"/>
      <c r="D29" s="163"/>
      <c r="E29" s="163"/>
      <c r="F29" s="165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161"/>
      <c r="D30" s="163"/>
      <c r="E30" s="163"/>
      <c r="F30" s="165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161"/>
      <c r="D31" s="163"/>
      <c r="E31" s="163"/>
      <c r="F31" s="16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161"/>
      <c r="D32" s="163"/>
      <c r="E32" s="163"/>
      <c r="F32" s="16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161"/>
      <c r="D33" s="163"/>
      <c r="E33" s="163"/>
      <c r="F33" s="165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161"/>
      <c r="D34" s="163"/>
      <c r="E34" s="163"/>
      <c r="F34" s="165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161"/>
      <c r="D35" s="163"/>
      <c r="E35" s="163"/>
      <c r="F35" s="16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161"/>
      <c r="D36" s="163"/>
      <c r="E36" s="163"/>
      <c r="F36" s="165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161"/>
      <c r="D37" s="163"/>
      <c r="E37" s="163"/>
      <c r="F37" s="165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161"/>
      <c r="D38" s="163"/>
      <c r="E38" s="163"/>
      <c r="F38" s="165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161"/>
      <c r="D39" s="163"/>
      <c r="E39" s="163"/>
      <c r="F39" s="165"/>
      <c r="G39" s="24"/>
      <c r="H39" s="160" t="s">
        <v>538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161"/>
      <c r="D40" s="163"/>
      <c r="E40" s="163"/>
      <c r="F40" s="165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161"/>
      <c r="D41" s="163"/>
      <c r="E41" s="163"/>
      <c r="F41" s="165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161"/>
      <c r="D42" s="163"/>
      <c r="E42" s="163"/>
      <c r="F42" s="165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161"/>
      <c r="D43" s="163"/>
      <c r="E43" s="163"/>
      <c r="F43" s="165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161"/>
      <c r="D44" s="163"/>
      <c r="E44" s="163"/>
      <c r="F44" s="165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161"/>
      <c r="D45" s="163"/>
      <c r="E45" s="163"/>
      <c r="F45" s="165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161"/>
      <c r="D46" s="163"/>
      <c r="E46" s="163"/>
      <c r="F46" s="165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161"/>
      <c r="D47" s="163"/>
      <c r="E47" s="163"/>
      <c r="F47" s="165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161"/>
      <c r="D48" s="163"/>
      <c r="E48" s="163"/>
      <c r="F48" s="165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161"/>
      <c r="D49" s="163"/>
      <c r="E49" s="163"/>
      <c r="F49" s="165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161"/>
      <c r="D50" s="163"/>
      <c r="E50" s="163"/>
      <c r="F50" s="165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161"/>
      <c r="D51" s="163"/>
      <c r="E51" s="163"/>
      <c r="F51" s="165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161"/>
      <c r="D52" s="163"/>
      <c r="E52" s="163"/>
      <c r="F52" s="165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161"/>
      <c r="D53" s="163"/>
      <c r="E53" s="163"/>
      <c r="F53" s="165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161"/>
      <c r="D54" s="163"/>
      <c r="E54" s="163"/>
      <c r="F54" s="165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161"/>
      <c r="D55" s="163"/>
      <c r="E55" s="163"/>
      <c r="F55" s="165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161"/>
      <c r="D56" s="163"/>
      <c r="E56" s="163"/>
      <c r="F56" s="165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161"/>
      <c r="D57" s="163"/>
      <c r="E57" s="163"/>
      <c r="F57" s="165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161"/>
      <c r="D58" s="163"/>
      <c r="E58" s="163"/>
      <c r="F58" s="165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161"/>
      <c r="D59" s="163"/>
      <c r="E59" s="163"/>
      <c r="F59" s="165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161"/>
      <c r="D60" s="163"/>
      <c r="E60" s="163"/>
      <c r="F60" s="165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161"/>
      <c r="D61" s="163"/>
      <c r="E61" s="163"/>
      <c r="F61" s="165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161"/>
      <c r="D62" s="163"/>
      <c r="E62" s="163"/>
      <c r="F62" s="165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161"/>
      <c r="D63" s="163"/>
      <c r="E63" s="163"/>
      <c r="F63" s="165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161"/>
      <c r="D64" s="163"/>
      <c r="E64" s="163"/>
      <c r="F64" s="165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161"/>
      <c r="D65" s="163"/>
      <c r="E65" s="163"/>
      <c r="F65" s="165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161"/>
      <c r="D66" s="163"/>
      <c r="E66" s="163"/>
      <c r="F66" s="16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161"/>
      <c r="D67" s="163"/>
      <c r="E67" s="163"/>
      <c r="F67" s="16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161"/>
      <c r="D68" s="163"/>
      <c r="E68" s="163"/>
      <c r="F68" s="165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161"/>
      <c r="D69" s="163"/>
      <c r="E69" s="163"/>
      <c r="F69" s="16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161"/>
      <c r="D70" s="163"/>
      <c r="E70" s="163"/>
      <c r="F70" s="16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161"/>
      <c r="D71" s="163"/>
      <c r="E71" s="163"/>
      <c r="F71" s="16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161"/>
      <c r="D72" s="163"/>
      <c r="E72" s="163"/>
      <c r="F72" s="16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161"/>
      <c r="D73" s="163"/>
      <c r="E73" s="163"/>
      <c r="F73" s="16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161"/>
      <c r="D74" s="163"/>
      <c r="E74" s="163"/>
      <c r="F74" s="16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161"/>
      <c r="D75" s="163"/>
      <c r="E75" s="163"/>
      <c r="F75" s="165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161"/>
      <c r="D76" s="163"/>
      <c r="E76" s="163"/>
      <c r="F76" s="165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161"/>
      <c r="D77" s="163"/>
      <c r="E77" s="163"/>
      <c r="F77" s="165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161"/>
      <c r="D78" s="163"/>
      <c r="E78" s="163"/>
      <c r="F78" s="165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161"/>
      <c r="D79" s="163"/>
      <c r="E79" s="163"/>
      <c r="F79" s="165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161"/>
      <c r="D80" s="163"/>
      <c r="E80" s="163"/>
      <c r="F80" s="165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161"/>
      <c r="D81" s="163"/>
      <c r="E81" s="163"/>
      <c r="F81" s="165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161"/>
      <c r="D82" s="163"/>
      <c r="E82" s="163"/>
      <c r="F82" s="165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161"/>
      <c r="D83" s="163"/>
      <c r="E83" s="163"/>
      <c r="F83" s="165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161"/>
      <c r="D84" s="163"/>
      <c r="E84" s="163"/>
      <c r="F84" s="165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161"/>
      <c r="D85" s="163"/>
      <c r="E85" s="163"/>
      <c r="F85" s="165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161"/>
      <c r="D86" s="163"/>
      <c r="E86" s="163"/>
      <c r="F86" s="165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161"/>
      <c r="D87" s="163"/>
      <c r="E87" s="163"/>
      <c r="F87" s="165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161"/>
      <c r="D88" s="163"/>
      <c r="E88" s="163"/>
      <c r="F88" s="165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161"/>
      <c r="D89" s="163"/>
      <c r="E89" s="163"/>
      <c r="F89" s="165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161"/>
      <c r="D90" s="163"/>
      <c r="E90" s="163"/>
      <c r="F90" s="165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161"/>
      <c r="D91" s="163"/>
      <c r="E91" s="163"/>
      <c r="F91" s="165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161"/>
      <c r="D92" s="163"/>
      <c r="E92" s="163"/>
      <c r="F92" s="165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161"/>
      <c r="D93" s="163"/>
      <c r="E93" s="163"/>
      <c r="F93" s="165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161"/>
      <c r="D94" s="163"/>
      <c r="E94" s="163"/>
      <c r="F94" s="165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161"/>
      <c r="D95" s="163"/>
      <c r="E95" s="163"/>
      <c r="F95" s="165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161"/>
      <c r="D96" s="163"/>
      <c r="E96" s="163"/>
      <c r="F96" s="165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161"/>
      <c r="D97" s="163"/>
      <c r="E97" s="163"/>
      <c r="F97" s="165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161"/>
      <c r="D98" s="163"/>
      <c r="E98" s="163"/>
      <c r="F98" s="165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161"/>
      <c r="D99" s="163"/>
      <c r="E99" s="163"/>
      <c r="F99" s="165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161"/>
      <c r="D100" s="163"/>
      <c r="E100" s="163"/>
      <c r="F100" s="165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161"/>
      <c r="D101" s="163"/>
      <c r="E101" s="163"/>
      <c r="F101" s="165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161"/>
      <c r="D102" s="163"/>
      <c r="E102" s="163"/>
      <c r="F102" s="165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161"/>
      <c r="D103" s="163"/>
      <c r="E103" s="163"/>
      <c r="F103" s="165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161"/>
      <c r="D104" s="163"/>
      <c r="E104" s="163"/>
      <c r="F104" s="165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161"/>
      <c r="D105" s="163"/>
      <c r="E105" s="163"/>
      <c r="F105" s="165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161"/>
      <c r="D106" s="163"/>
      <c r="E106" s="163"/>
      <c r="F106" s="165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161"/>
      <c r="D107" s="163"/>
      <c r="E107" s="163"/>
      <c r="F107" s="165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161"/>
      <c r="D108" s="163"/>
      <c r="E108" s="163"/>
      <c r="F108" s="165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161"/>
      <c r="D109" s="163"/>
      <c r="E109" s="163"/>
      <c r="F109" s="165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161"/>
      <c r="D110" s="163"/>
      <c r="E110" s="163"/>
      <c r="F110" s="165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161"/>
      <c r="D111" s="163"/>
      <c r="E111" s="163"/>
      <c r="F111" s="165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161"/>
      <c r="D112" s="163"/>
      <c r="E112" s="163"/>
      <c r="F112" s="165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161"/>
      <c r="D113" s="163"/>
      <c r="E113" s="163"/>
      <c r="F113" s="165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161"/>
      <c r="D114" s="163"/>
      <c r="E114" s="163"/>
      <c r="F114" s="165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161"/>
      <c r="D115" s="163"/>
      <c r="E115" s="163"/>
      <c r="F115" s="165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161"/>
      <c r="D116" s="163"/>
      <c r="E116" s="163"/>
      <c r="F116" s="165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161"/>
      <c r="D117" s="163"/>
      <c r="E117" s="163"/>
      <c r="F117" s="165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161"/>
      <c r="D118" s="163"/>
      <c r="E118" s="163"/>
      <c r="F118" s="165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161"/>
      <c r="D119" s="163"/>
      <c r="E119" s="163"/>
      <c r="F119" s="165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161"/>
      <c r="D120" s="163"/>
      <c r="E120" s="163"/>
      <c r="F120" s="165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161"/>
      <c r="D121" s="163"/>
      <c r="E121" s="163"/>
      <c r="F121" s="165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161"/>
      <c r="D122" s="163"/>
      <c r="E122" s="163"/>
      <c r="F122" s="165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161"/>
      <c r="D123" s="163"/>
      <c r="E123" s="163"/>
      <c r="F123" s="165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161"/>
      <c r="D124" s="163"/>
      <c r="E124" s="163"/>
      <c r="F124" s="165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161"/>
      <c r="D125" s="163"/>
      <c r="E125" s="163"/>
      <c r="F125" s="165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161"/>
      <c r="D126" s="163"/>
      <c r="E126" s="163"/>
      <c r="F126" s="165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161"/>
      <c r="D127" s="163"/>
      <c r="E127" s="163"/>
      <c r="F127" s="165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161"/>
      <c r="D128" s="163"/>
      <c r="E128" s="163"/>
      <c r="F128" s="165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161"/>
      <c r="D129" s="163"/>
      <c r="E129" s="163"/>
      <c r="F129" s="165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161"/>
      <c r="D130" s="163"/>
      <c r="E130" s="163"/>
      <c r="F130" s="165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161"/>
      <c r="D131" s="163"/>
      <c r="E131" s="163"/>
      <c r="F131" s="165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161"/>
      <c r="D132" s="163"/>
      <c r="E132" s="163"/>
      <c r="F132" s="165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161"/>
      <c r="D133" s="163"/>
      <c r="E133" s="163"/>
      <c r="F133" s="165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161"/>
      <c r="D134" s="163"/>
      <c r="E134" s="163"/>
      <c r="F134" s="165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161"/>
      <c r="D135" s="163"/>
      <c r="E135" s="163"/>
      <c r="F135" s="165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161"/>
      <c r="D136" s="163"/>
      <c r="E136" s="163"/>
      <c r="F136" s="165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161"/>
      <c r="D137" s="163"/>
      <c r="E137" s="163"/>
      <c r="F137" s="165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161"/>
      <c r="D138" s="163"/>
      <c r="E138" s="163"/>
      <c r="F138" s="165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161"/>
      <c r="D139" s="163"/>
      <c r="E139" s="163"/>
      <c r="F139" s="165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161"/>
      <c r="D140" s="163"/>
      <c r="E140" s="163"/>
      <c r="F140" s="165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161"/>
      <c r="D141" s="163"/>
      <c r="E141" s="163"/>
      <c r="F141" s="165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161"/>
      <c r="D142" s="163"/>
      <c r="E142" s="163"/>
      <c r="F142" s="165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161"/>
      <c r="D143" s="163"/>
      <c r="E143" s="163"/>
      <c r="F143" s="165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161"/>
      <c r="D144" s="163"/>
      <c r="E144" s="163"/>
      <c r="F144" s="165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161"/>
      <c r="D145" s="163"/>
      <c r="E145" s="163"/>
      <c r="F145" s="165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161"/>
      <c r="D146" s="163"/>
      <c r="E146" s="163"/>
      <c r="F146" s="165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161"/>
      <c r="D147" s="163"/>
      <c r="E147" s="163"/>
      <c r="F147" s="165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161"/>
      <c r="D148" s="163"/>
      <c r="E148" s="163"/>
      <c r="F148" s="165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161"/>
      <c r="D149" s="163"/>
      <c r="E149" s="163"/>
      <c r="F149" s="165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161"/>
      <c r="D150" s="163"/>
      <c r="E150" s="163"/>
      <c r="F150" s="165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161"/>
      <c r="D151" s="163"/>
      <c r="E151" s="163"/>
      <c r="F151" s="165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161"/>
      <c r="D152" s="163"/>
      <c r="E152" s="163"/>
      <c r="F152" s="165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161"/>
      <c r="D153" s="163"/>
      <c r="E153" s="163"/>
      <c r="F153" s="165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161"/>
      <c r="D154" s="163"/>
      <c r="E154" s="163"/>
      <c r="F154" s="165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161"/>
      <c r="D155" s="163"/>
      <c r="E155" s="163"/>
      <c r="F155" s="165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161"/>
      <c r="D156" s="163"/>
      <c r="E156" s="163"/>
      <c r="F156" s="165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161"/>
      <c r="D157" s="163"/>
      <c r="E157" s="163"/>
      <c r="F157" s="165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161"/>
      <c r="D158" s="163"/>
      <c r="E158" s="163"/>
      <c r="F158" s="165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161"/>
      <c r="D159" s="163"/>
      <c r="E159" s="163"/>
      <c r="F159" s="165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161"/>
      <c r="D160" s="163"/>
      <c r="E160" s="163"/>
      <c r="F160" s="165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161"/>
      <c r="D161" s="163"/>
      <c r="E161" s="163"/>
      <c r="F161" s="165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161"/>
      <c r="D162" s="163"/>
      <c r="E162" s="163"/>
      <c r="F162" s="165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161"/>
      <c r="D163" s="163"/>
      <c r="E163" s="163"/>
      <c r="F163" s="165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161"/>
      <c r="D164" s="163"/>
      <c r="E164" s="163"/>
      <c r="F164" s="165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161"/>
      <c r="D165" s="163"/>
      <c r="E165" s="163"/>
      <c r="F165" s="165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161"/>
      <c r="D166" s="163"/>
      <c r="E166" s="163"/>
      <c r="F166" s="165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161"/>
      <c r="D167" s="163"/>
      <c r="E167" s="163"/>
      <c r="F167" s="165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161"/>
      <c r="D168" s="163"/>
      <c r="E168" s="163"/>
      <c r="F168" s="165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161"/>
      <c r="D169" s="163"/>
      <c r="E169" s="163"/>
      <c r="F169" s="165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161"/>
      <c r="D170" s="163"/>
      <c r="E170" s="163"/>
      <c r="F170" s="165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161"/>
      <c r="D171" s="163"/>
      <c r="E171" s="163"/>
      <c r="F171" s="165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161"/>
      <c r="D172" s="163"/>
      <c r="E172" s="163"/>
      <c r="F172" s="165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161"/>
      <c r="D173" s="163"/>
      <c r="E173" s="163"/>
      <c r="F173" s="165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161"/>
      <c r="D174" s="163"/>
      <c r="E174" s="163"/>
      <c r="F174" s="165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161"/>
      <c r="D175" s="163"/>
      <c r="E175" s="163"/>
      <c r="F175" s="165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161"/>
      <c r="D176" s="163"/>
      <c r="E176" s="163"/>
      <c r="F176" s="165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161"/>
      <c r="D177" s="163"/>
      <c r="E177" s="163"/>
      <c r="F177" s="165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161"/>
      <c r="D178" s="163"/>
      <c r="E178" s="163"/>
      <c r="F178" s="165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161"/>
      <c r="D179" s="163"/>
      <c r="E179" s="163"/>
      <c r="F179" s="165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161"/>
      <c r="D180" s="163"/>
      <c r="E180" s="163"/>
      <c r="F180" s="165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161"/>
      <c r="D181" s="163"/>
      <c r="E181" s="163"/>
      <c r="F181" s="165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161"/>
      <c r="D182" s="163"/>
      <c r="E182" s="163"/>
      <c r="F182" s="165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161"/>
      <c r="D183" s="163"/>
      <c r="E183" s="163"/>
      <c r="F183" s="165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161"/>
      <c r="D184" s="163"/>
      <c r="E184" s="163"/>
      <c r="F184" s="165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161"/>
      <c r="D185" s="163"/>
      <c r="E185" s="163"/>
      <c r="F185" s="165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161"/>
      <c r="D186" s="163"/>
      <c r="E186" s="163"/>
      <c r="F186" s="165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161"/>
      <c r="D187" s="163"/>
      <c r="E187" s="163"/>
      <c r="F187" s="165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161"/>
      <c r="D188" s="163"/>
      <c r="E188" s="163"/>
      <c r="F188" s="165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161"/>
      <c r="D189" s="163"/>
      <c r="E189" s="163"/>
      <c r="F189" s="165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161"/>
      <c r="D190" s="163"/>
      <c r="E190" s="163"/>
      <c r="F190" s="165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161"/>
      <c r="D191" s="163"/>
      <c r="E191" s="163"/>
      <c r="F191" s="165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161"/>
      <c r="D192" s="163"/>
      <c r="E192" s="163"/>
      <c r="F192" s="165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161"/>
      <c r="D193" s="163"/>
      <c r="E193" s="163"/>
      <c r="F193" s="165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161"/>
      <c r="D194" s="163"/>
      <c r="E194" s="163"/>
      <c r="F194" s="165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161"/>
      <c r="D195" s="163"/>
      <c r="E195" s="163"/>
      <c r="F195" s="165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D196" s="166"/>
      <c r="E196" s="166"/>
      <c r="F196" s="167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>
      <c r="A209" s="168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2026-05-08T07:10:00Z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2EE6DDE3A95945AE9552C49E82AC6A95_12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