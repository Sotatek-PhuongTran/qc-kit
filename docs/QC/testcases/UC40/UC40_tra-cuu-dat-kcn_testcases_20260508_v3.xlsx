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Git_MBFS\mbfs-bqa\docs\QC-MOBILE\testcases\UC40\"/>
    </mc:Choice>
  </mc:AlternateContent>
  <bookViews>
    <workbookView xWindow="-72" yWindow="-16320" windowWidth="29040" windowHeight="15720" activeTab="4"/>
  </bookViews>
  <sheets>
    <sheet name="Overview" sheetId="1" r:id="rId1"/>
    <sheet name="Test Plan&amp;report" sheetId="2" r:id="rId2"/>
    <sheet name="Revisions" sheetId="3" r:id="rId3"/>
    <sheet name="Tra cứu quỹ đất" sheetId="4" r:id="rId4"/>
    <sheet name="WFDesign" sheetId="5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M5" i="4" l="1"/>
  <c r="J5" i="4"/>
  <c r="M4" i="4"/>
  <c r="J4" i="4"/>
  <c r="M3" i="4"/>
  <c r="J3" i="4"/>
  <c r="M2" i="4"/>
  <c r="J2" i="4"/>
  <c r="Q1" i="4"/>
  <c r="M1" i="4"/>
  <c r="J1" i="4"/>
  <c r="P16" i="2"/>
  <c r="J3" i="2"/>
  <c r="J9" i="2" s="1"/>
  <c r="I3" i="2"/>
  <c r="I9" i="2" s="1"/>
  <c r="H3" i="2"/>
  <c r="H9" i="2" s="1"/>
  <c r="G3" i="2"/>
  <c r="G9" i="2" s="1"/>
  <c r="F3" i="2"/>
  <c r="F9" i="2" s="1"/>
  <c r="E3" i="2"/>
  <c r="E9" i="2" s="1"/>
  <c r="O1" i="4" l="1"/>
  <c r="D9" i="2"/>
  <c r="C9" i="2"/>
  <c r="C3" i="2"/>
  <c r="D3" i="2"/>
</calcChain>
</file>

<file path=xl/sharedStrings.xml><?xml version="1.0" encoding="utf-8"?>
<sst xmlns="http://schemas.openxmlformats.org/spreadsheetml/2006/main" count="1814" uniqueCount="1053">
  <si>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</si>
  <si>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</si>
  <si>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</si>
  <si>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</si>
  <si>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</si>
  <si>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</si>
  <si>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</si>
  <si>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</si>
  <si>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</si>
  <si>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</si>
  <si>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</si>
  <si>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nga.tran3</t>
  </si>
  <si>
    <t>Approver:</t>
  </si>
  <si>
    <t>Chung.vu</t>
  </si>
  <si>
    <t>QC</t>
  </si>
  <si>
    <t>PM</t>
  </si>
  <si>
    <t>Created Date:</t>
  </si>
  <si>
    <t>Approved Date:</t>
  </si>
  <si>
    <t>Version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</si>
  <si>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</si>
  <si>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</si>
  <si>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</si>
  <si>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</si>
  <si>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</si>
  <si>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</si>
  <si>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</si>
  <si>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</si>
  <si>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</si>
  <si>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</si>
  <si>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FUNC40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</si>
  <si>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</si>
  <si>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</si>
  <si>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</si>
  <si>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</si>
  <si>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</si>
  <si>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</si>
  <si>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</si>
  <si>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</si>
  <si>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</si>
  <si>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</si>
  <si>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</si>
  <si>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</si>
  <si>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</si>
  <si>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</si>
  <si>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</si>
  <si>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</si>
  <si>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</si>
  <si>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Tra cứu thông tin quỹ đất trong KCN</t>
  </si>
  <si>
    <t>Review</t>
  </si>
  <si>
    <t>HISTORY</t>
  </si>
  <si>
    <t>History</t>
  </si>
  <si>
    <t>Date</t>
  </si>
  <si>
    <t>Content</t>
  </si>
  <si>
    <t>Author</t>
  </si>
  <si>
    <t>Thêm mới</t>
  </si>
  <si>
    <t>System Name</t>
  </si>
  <si>
    <t>MBFS_UC40_TraCuuDatKCN_Testcase_v3.0</t>
  </si>
  <si>
    <t>Browser</t>
  </si>
  <si>
    <t>iOS</t>
  </si>
  <si>
    <t>Android</t>
  </si>
  <si>
    <t>Number of Test cases</t>
  </si>
  <si>
    <t>Number of Bugs</t>
  </si>
  <si>
    <t>Module</t>
  </si>
  <si>
    <t>UC40 - Tra cứu thông tin quỹ đất trong KCN</t>
  </si>
  <si>
    <t>Created By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</si>
  <si>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</si>
  <si>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</si>
  <si>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</si>
  <si>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</si>
  <si>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</si>
  <si>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</si>
  <si>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</si>
  <si>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</si>
  <si>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</si>
  <si>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</si>
  <si>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</si>
  <si>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</si>
  <si>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</si>
  <si>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</si>
  <si>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quỹ đất</t>
  </si>
  <si>
    <t>Check UI/UX</t>
  </si>
  <si>
    <t>TC_001</t>
  </si>
  <si>
    <t>[Màn hình Danh sách quỹ đất] Kiểm tra UI/UX tổng thể khi lần đầu truy cập</t>
  </si>
  <si>
    <t>Đã đăng nhập hợp lệ và đang ở Trang chủ.</t>
  </si>
  <si>
    <t>1. Mở [Sidebar], chọn mục "Quản lý quỹ đất"
2. Chờ dữ liệu lần đầu tải xong
3. Kiểm tra hiển thị màn hình [Danh sách quỹ đất]</t>
  </si>
  <si>
    <t>Tham khảo WFDesign</t>
  </si>
  <si>
    <t>TC_002</t>
  </si>
  <si>
    <t>[Header Danh sách] Kiểm tra hiển thị Header màn hình Danh sách quỹ đất</t>
  </si>
  <si>
    <t>Đã đăng nhập và vào màn hình [Danh sách quỹ đất].</t>
  </si>
  <si>
    <t>1. Kiểm tra hiển thị Header</t>
  </si>
  <si>
    <t>1.
- Hiển thị tiêu đề "Quản lý quỹ đất" căn giữa
- Màu nền header theo Design
- Font, cỡ chữ giống Design (Tham khảo sheet WFDesign)</t>
  </si>
  <si>
    <t>TC_003</t>
  </si>
  <si>
    <t>[Ô tìm kiếm] Kiểm tra layout đầy đủ ô tìm kiếm</t>
  </si>
  <si>
    <t>Đã vào màn hình [Danh sách quỹ đất].</t>
  </si>
  <si>
    <t>1. Kiểm tra hiển thị ô tìm kiếm</t>
  </si>
  <si>
    <t>1.
- Ô tìm kiếm nằm dưới Header
- Icon kính lúp bên trái trong ô
- Placeholder "Tìm kiếm tên lô đất..." màu xám nhạt
- Viền bo tròn theo Design
- Nút "Lọc" (icon filter) nằm bên phải ô tìm kiếm</t>
  </si>
  <si>
    <t>CMR-01</t>
  </si>
  <si>
    <t>TC_004</t>
  </si>
  <si>
    <t>[Icon Lọc] Kiểm tra hiển thị mặc định khi chưa có filter active</t>
  </si>
  <si>
    <t>Đã vào màn hình [Danh sách quỹ đất] lần đầu, chưa áp dụng filter.</t>
  </si>
  <si>
    <t>1. Kiểm tra hiển thị icon [Lọc] bên phải ô tìm kiếm</t>
  </si>
  <si>
    <t>CMR-02 v1.1</t>
  </si>
  <si>
    <t>TC_005</t>
  </si>
  <si>
    <t>[Card List] Kiểm tra layout tổng thể danh sách Card</t>
  </si>
  <si>
    <t>Đã vào màn hình [Danh sách quỹ đất] có ≥ 3 lô đất.</t>
  </si>
  <si>
    <t>1. Kiểm tra layout danh sách Card bên dưới ô tìm kiếm</t>
  </si>
  <si>
    <t>1.
- Các Card xếp dọc (vertical list), spacing đều giữa các Card
- Không chồng chéo, không tràn ngang
- Scroll vertical mượt khi vuốt lên/xuống
- Card đầu tiên nằm ngay dưới ô tìm kiếm</t>
  </si>
  <si>
    <t>TC_006</t>
  </si>
  <si>
    <t>[Màn hình Danh sách quỹ đất] Kiểm tra hiển thị loading state toàn màn hình khi first-load</t>
  </si>
  <si>
    <t>Đã đăng nhập và chưa từng mở màn hình [Quản lý quỹ đất] trong session hiện tại.</t>
  </si>
  <si>
    <t>1. Từ [Sidebar] chọn "Quản lý quỹ đất"
2. Kiểm tra hiển thị trạng thái loading ngay khi màn hình vừa mở</t>
  </si>
  <si>
    <t>2. Hiển thị loading indicator toàn màn hình (full-screen loading overlay) trong khi chờ dữ liệu lần đầu. Không hiển thị spinner cục bộ ở first-load.</t>
  </si>
  <si>
    <t>CMR-07 v1.1</t>
  </si>
  <si>
    <t>TC_007</t>
  </si>
  <si>
    <t>[Màn hình Danh sách quỹ đất] Kiểm tra hiển thị ô tìm kiếm với placeholder mặc định</t>
  </si>
  <si>
    <t>1. Kiểm tra ô tìm kiếm khi chưa nhập ký tự</t>
  </si>
  <si>
    <t>1. Ô tìm kiếm hiển thị placeholder "Tìm kiếm tên lô đất..." màu xám nhạt, con trỏ chưa focus.</t>
  </si>
  <si>
    <t>TC_008</t>
  </si>
  <si>
    <t>[Màn hình Danh sách quỹ đất] Kiểm tra hiển thị Card lô đất với đầy đủ 6 thành phần</t>
  </si>
  <si>
    <t>Đã vào màn hình [Danh sách quỹ đất] và danh sách có ít nhất 1 lô đất.</t>
  </si>
  <si>
    <t>1. Quan sát 1 Card lô đất bất kỳ
2. Kiểm tra các thành phần trên Card</t>
  </si>
  <si>
    <t>2. Card hiển thị đủ 6 thành phần: Tên lô đất (in đậm), Icon "&gt;" ở phải, Vị trí, Diện tích, Badge tình trạng quỹ đất, Badge tình trạng công bố.</t>
  </si>
  <si>
    <t>UC40 Section 2.1</t>
  </si>
  <si>
    <t>TC_009</t>
  </si>
  <si>
    <t>[Màn hình Danh sách quỹ đất] Kiểm tra truncate tối đa 2 dòng với tên lô đất/vị trí dài</t>
  </si>
  <si>
    <t>Đã có lô đất với tên/vị trí dài &gt; 40 ký tự.</t>
  </si>
  <si>
    <t>1. Kiểm tra hiển thị Card của lô đất có tên/vị trí dài</t>
  </si>
  <si>
    <t>1. Tên lô đất và Vị trí truncate tối đa 2 dòng, cuối dòng hiển thị "..."; không tràn khỏi Card.</t>
  </si>
  <si>
    <t>TC_010</t>
  </si>
  <si>
    <t>[Màn hình Danh sách quỹ đất] Kiểm tra format hàng nghìn cho diện tích trên Card</t>
  </si>
  <si>
    <t>Đã có lô đất có diện tích 50000 m² trên danh sách.</t>
  </si>
  <si>
    <t>1. Quan sát trường diện tích trên Card
2. Kiểm tra định dạng hiển thị</t>
  </si>
  <si>
    <t>2. Diện tích hiển thị theo format hàng nghìn, ví dụ "50,000" (CMR-11). Không hiển thị đơn vị "m²" trên Card.</t>
  </si>
  <si>
    <t>CMR-11</t>
  </si>
  <si>
    <t>TC_011</t>
  </si>
  <si>
    <t>[Badge Còn trống] Kiểm tra hiển thị màu xanh lá</t>
  </si>
  <si>
    <t>Đã có lô đất có tình trạng quỹ đất = "Còn trống".</t>
  </si>
  <si>
    <t>1. Quan sát Badge tình trạng quỹ đất trên Card</t>
  </si>
  <si>
    <t>1. Badge "Còn trống" hiển thị nền xanh lá nhạt, chữ xanh lá đậm, read-only.</t>
  </si>
  <si>
    <t>CMR-05</t>
  </si>
  <si>
    <t>TC_012</t>
  </si>
  <si>
    <t>[Badge Đã cho thuê] Kiểm tra hiển thị màu đỏ</t>
  </si>
  <si>
    <t>Đã có lô đất có tình trạng quỹ đất = "Đã cho thuê".</t>
  </si>
  <si>
    <t>1. Badge "Đã cho thuê" hiển thị nền đỏ nhạt, chữ đỏ đậm, read-only.</t>
  </si>
  <si>
    <t>TC_013</t>
  </si>
  <si>
    <t>[Badge Đã công bố] Kiểm tra hiển thị outline xanh</t>
  </si>
  <si>
    <t>Đã có lô đất có tình trạng công bố = "Đã công bố".</t>
  </si>
  <si>
    <t>1. Quan sát Badge tình trạng công bố trên Card</t>
  </si>
  <si>
    <t>1. Badge "Đã công bố" hiển thị nền trắng, viền xanh lá, chữ xanh lá.</t>
  </si>
  <si>
    <t>UC40 2.1</t>
  </si>
  <si>
    <t>TC_014</t>
  </si>
  <si>
    <t>[Badge Chưa công bố] Kiểm tra hiển thị màu xám</t>
  </si>
  <si>
    <t>Đã có lô đất có tình trạng công bố = "Chưa công bố".</t>
  </si>
  <si>
    <t>1. Badge "Chưa công bố" hiển thị nền xám nhạt, chữ xám đậm.</t>
  </si>
  <si>
    <t>TC_015</t>
  </si>
  <si>
    <t>[Icon Lọc] Kiểm tra hiển thị indicator filter active</t>
  </si>
  <si>
    <t>Đã áp dụng ít nhất 1 tiêu chí lọc (ví dụ KCN = "KCN A").</t>
  </si>
  <si>
    <t>1. Quay về màn hình [Danh sách quỹ đất]
2. Quan sát icon [Lọc]</t>
  </si>
  <si>
    <t>2. Icon [Lọc] hiển thị indicator (dấu chấm/icon) màu xanh lá ở góc phải trên, báo hiệu đang có filter active.</t>
  </si>
  <si>
    <t>TC_016</t>
  </si>
  <si>
    <t>[Màn hình Danh sách quỹ đất] Kiểm tra empty state khi không có dữ liệu</t>
  </si>
  <si>
    <t>Đăng nhập bằng tài khoản không có lô đất nào được trả về.</t>
  </si>
  <si>
    <t>1. Vào màn hình [Danh sách quỹ đất]
2. Kiểm tra hiển thị khi danh sách rỗng</t>
  </si>
  <si>
    <t>2. Hiển thị empty state với thông báo "Không có dữ liệu." căn giữa vùng nội dung (CMR-14).</t>
  </si>
  <si>
    <t>CMR-14</t>
  </si>
  <si>
    <t>Check Function</t>
  </si>
  <si>
    <t>TC_017</t>
  </si>
  <si>
    <t>[Nút Quay lại] Kiểm tra nút Back (←) trên header màn hình Danh sách quỹ đất</t>
  </si>
  <si>
    <t>Đã vào màn hình [Danh sách quỹ đất] từ [Sidebar].</t>
  </si>
  <si>
    <t>1. Quan sát icon ← ở góc trái header
2. Nhấn icon ←
3. Kiểm tra màn hình</t>
  </si>
  <si>
    <t>1. Icon ← hiển thị ở góc trái header.
3. App quay về màn hình trước đó.</t>
  </si>
  <si>
    <t>TC_018</t>
  </si>
  <si>
    <t>[Sidebar] Kiểm tra truy cập chức năng Tra cứu quỹ đất từ Sidebar</t>
  </si>
  <si>
    <t>Đã đăng nhập và đang ở Trang chủ.</t>
  </si>
  <si>
    <t>1. Mở [Sidebar]
2. Nhấn vào mục "Quản lý quỹ đất"
3. Kiểm tra hiển thị</t>
  </si>
  <si>
    <t>3. App điều hướng đến màn hình [Danh sách quỹ đất]. Header hiển thị "Quản lý quỹ đất". Danh sách được tải và hiển thị.</t>
  </si>
  <si>
    <t>TC_019</t>
  </si>
  <si>
    <t>[Màn hình Danh sách quỹ đất] Kiểm tra tải danh sách mặc định không áp dụng filter</t>
  </si>
  <si>
    <t>Đã đăng nhập và chưa từng mở UC40 trong session.</t>
  </si>
  <si>
    <t>1. Từ [Sidebar] chọn "Quản lý quỹ đất"
2. Chờ dữ liệu tải xong
3. Kiểm tra danh sách hiển thị</t>
  </si>
  <si>
    <t>3. Danh sách Card hiển thị đầy đủ 20 bản ghi đầu tiên (nếu có), không có filter, không có keyword tìm kiếm. Icon [Lọc] không có indicator active.</t>
  </si>
  <si>
    <t>TC_020</t>
  </si>
  <si>
    <t>[Màn hình Danh sách quỹ đất] Kiểm tra sắp xếp mặc định theo tên lô đất tăng dần A-Z</t>
  </si>
  <si>
    <t>Đã có nhiều lô đất (ví dụ N101, N102, N103) trong hệ thống.</t>
  </si>
  <si>
    <t>1. Vào màn hình [Danh sách quỹ đất]
2. Kiểm tra thứ tự các Card</t>
  </si>
  <si>
    <t>2. Các Card sắp xếp theo tên lô đất tăng dần (1-9/A-Z). Ví dụ: N101 → N102 → N103.</t>
  </si>
  <si>
    <t>TC_021</t>
  </si>
  <si>
    <t>[Màn hình Danh sách quỹ đất] Kiểm tra lazy load 20 bản ghi đầu tiên</t>
  </si>
  <si>
    <t>Tài khoản có ≥ 40 lô đất.</t>
  </si>
  <si>
    <t>1. Vào màn hình [Danh sách quỹ đất]
2. Kiểm tra số lượng bản ghi load lần đầu</t>
  </si>
  <si>
    <t>2. Danh sách hiển thị đúng 20 bản ghi đầu tiên, chưa tải thêm.</t>
  </si>
  <si>
    <t>CMR-04</t>
  </si>
  <si>
    <t>TC_022</t>
  </si>
  <si>
    <t>[Màn hình Danh sách quỹ đất] Kiểm tra lazy load 20 bản ghi tiếp theo khi cuộn cuối</t>
  </si>
  <si>
    <t>Đã vào màn hình [Danh sách quỹ đất] với 20 bản ghi đầu tiên đã load, tổng ≥ 40 bản ghi.</t>
  </si>
  <si>
    <t>1. Cuộn xuống cuối danh sách
2. Chờ spinner cục bộ
3. Kiểm tra danh sách</t>
  </si>
  <si>
    <t>3. App hiển thị spinner cục bộ ở cuối danh sách và tải thêm 20 bản ghi tiếp theo (bản ghi 21-40), tổng cộng 40 bản ghi.</t>
  </si>
  <si>
    <t>CMR-04, CMR-07 v1.1</t>
  </si>
  <si>
    <t>TC_023</t>
  </si>
  <si>
    <t>[Màn hình Danh sách quỹ đất] Kiểm tra lazy load với đúng 20 bản ghi (boundary exact)</t>
  </si>
  <si>
    <t>Tài khoản có đúng 20 lô đất.</t>
  </si>
  <si>
    <t>1. Vào màn hình [Danh sách quỹ đất]
2. Cuộn xuống cuối
3. Kiểm tra hành vi</t>
  </si>
  <si>
    <t>3. Hiển thị đủ 20 bản ghi, không trigger lazy load, không có spinner cục bộ ở cuối.</t>
  </si>
  <si>
    <t>BVA = 20</t>
  </si>
  <si>
    <t>TC_024</t>
  </si>
  <si>
    <t>[Màn hình Danh sách quỹ đất] Kiểm tra lazy load với 21 bản ghi (BVA Limit + 1)</t>
  </si>
  <si>
    <t>Tài khoản có đúng 21 lô đất.</t>
  </si>
  <si>
    <t>1. Vào màn hình [Danh sách quỹ đất]
2. Load lần đầu
3. Cuộn xuống cuối
4. Kiểm tra danh sách</t>
  </si>
  <si>
    <t>2. Hiển thị 20 bản ghi đầu tiên.
4. Lazy load tải thêm 1 bản ghi cuối → tổng 21 bản ghi, ẩn loading indicator.</t>
  </si>
  <si>
    <t>BVA = 21</t>
  </si>
  <si>
    <t>TC_025</t>
  </si>
  <si>
    <t>[Màn hình Danh sách quỹ đất] Kiểm tra lazy load với 41 bản ghi (BVA 2 lần load)</t>
  </si>
  <si>
    <t>Tài khoản có đúng 41 lô đất.</t>
  </si>
  <si>
    <t>1. Load lần đầu → 20 bản ghi
2. Cuộn cuối → 40 bản ghi
3. Cuộn tiếp → 41 bản ghi
4. Kiểm tra</t>
  </si>
  <si>
    <t>4. Hiển thị tổng 41 bản ghi, không tải thêm nữa, ẩn loading indicator.</t>
  </si>
  <si>
    <t>BVA = 41</t>
  </si>
  <si>
    <t>TC_026</t>
  </si>
  <si>
    <t>[Màn hình Danh sách quỹ đất] Kiểm tra ẩn loading indicator khi hết dữ liệu</t>
  </si>
  <si>
    <t>Đã load hết toàn bộ bản ghi.</t>
  </si>
  <si>
    <t>1. Cuộn xuống cuối danh sách sau khi đã load hết
2. Kiểm tra loading indicator</t>
  </si>
  <si>
    <t>2. Không hiển thị spinner cục bộ. Không gọi thêm API lazy load.</t>
  </si>
  <si>
    <t>TC_027</t>
  </si>
  <si>
    <t>[Màn hình Danh sách quỹ đất] Kiểm tra hiển thị empty state khi 0 bản ghi</t>
  </si>
  <si>
    <t>Tài khoản không có lô đất nào.</t>
  </si>
  <si>
    <t>1. Vào màn hình [Danh sách quỹ đất]
2. Kiểm tra hiển thị</t>
  </si>
  <si>
    <t>2. Hiển thị thông báo "Không có dữ liệu." căn giữa vùng nội dung (CMR-14). Không hiển thị Card nào.</t>
  </si>
  <si>
    <t>TC_028</t>
  </si>
  <si>
    <t>[Màn hình Danh sách quỹ đất] Kiểm tra hiển thị lỗi timeout khi API quá 10 giây</t>
  </si>
  <si>
    <t>Giả lập server phản hồi chậm &gt; 10 giây (dùng proxy/network throttle).</t>
  </si>
  <si>
    <t>1. Vào màn hình [Danh sách quỹ đất]
2. Chờ &gt; 10 giây
3. Kiểm tra hiển thị</t>
  </si>
  <si>
    <t>3. Hiển thị thông báo "Yêu cầu đã hết thời gian chờ. Vui lòng thử lại." kèm nút [Thử lại]. Không crash app.</t>
  </si>
  <si>
    <t>CMR-07, CMR-16</t>
  </si>
  <si>
    <t>TC_029</t>
  </si>
  <si>
    <t>[Màn hình Danh sách quỹ đất] Kiểm tra hiển thị lỗi khi mất kết nối mạng</t>
  </si>
  <si>
    <t>Thiết bị đã bật chế độ máy bay/tắt mạng.</t>
  </si>
  <si>
    <t>2. Hiển thị thông báo "Không thể kết nối. Vui lòng kiểm tra mạng và thử lại." kèm nút [Thử lại].</t>
  </si>
  <si>
    <t>CMR-07</t>
  </si>
  <si>
    <t>TC_030</t>
  </si>
  <si>
    <t>[Màn hình Danh sách quỹ đất] Kiểm tra hiển thị lỗi server 500</t>
  </si>
  <si>
    <t>Giả lập API danh sách trả về HTTP 500.</t>
  </si>
  <si>
    <t>2. Hiển thị thông báo "Hệ thống đang bận. Vui lòng thử lại sau." kèm nút [Thử lại] (nếu có).</t>
  </si>
  <si>
    <t>TC_031</t>
  </si>
  <si>
    <t>[Nút Thử lại] Kiểm tra tải lại danh sách thành công sau lỗi</t>
  </si>
  <si>
    <t>Đã hiển thị thông báo lỗi và nút [Thử lại] (timeout hoặc network).</t>
  </si>
  <si>
    <t>1. Khôi phục mạng
2. Nhấn [Thử lại]
3. Kiểm tra hiển thị</t>
  </si>
  <si>
    <t>3. Loading indicator xuất hiện, sau đó danh sách Card hiển thị đầy đủ như happy path.</t>
  </si>
  <si>
    <t>TC_032</t>
  </si>
  <si>
    <t>[Ô tìm kiếm] Kiểm tra happy path tìm kiếm theo từ khóa chính xác</t>
  </si>
  <si>
    <t>Đã có lô đất tên "N102".</t>
  </si>
  <si>
    <t>1. Nhấn vào ô tìm kiếm
2. Nhập "N102"
3. Chờ debounce 3 giây
4. Kiểm tra kết quả</t>
  </si>
  <si>
    <t>4. Sau 3 giây, app trả về danh sách các lô đất có tên chứa "N102". Ô tìm kiếm giữ nguyên chữ đã nhập.</t>
  </si>
  <si>
    <t>TC_033</t>
  </si>
  <si>
    <t>[Ô tìm kiếm] Kiểm tra tìm kiếm gần đúng với từ khóa "N10"</t>
  </si>
  <si>
    <t>Đã có các lô đất N101, N102, N103, N20.</t>
  </si>
  <si>
    <t>1. Nhập "N10" vào ô tìm kiếm
2. Chờ debounce
3. Kiểm tra kết quả</t>
  </si>
  <si>
    <t>3. Danh sách hiển thị các lô đất có tên chứa "N10" (N101, N102, N103), không hiển thị N20.</t>
  </si>
  <si>
    <t>TC_034</t>
  </si>
  <si>
    <t>[Ô tìm kiếm] Kiểm tra debounce 3 giây</t>
  </si>
  <si>
    <t>1. Nhập "N102" vào ô tìm kiếm
2. Đếm thời gian đến khi có kết quả
3. Kiểm tra thời điểm API được gọi</t>
  </si>
  <si>
    <t>3. App chỉ thực hiện tìm kiếm sau khi ngừng gõ đúng 3 giây. Trước 3 giây chưa có phản hồi.</t>
  </si>
  <si>
    <t>BVA debounce = 3s</t>
  </si>
  <si>
    <t>TC_035</t>
  </si>
  <si>
    <t>[Ô tìm kiếm] Kiểm tra reset debounce khi nhập liên tục</t>
  </si>
  <si>
    <t>1. Nhập "N", chờ 2 giây
2. Nhập tiếp "1", chờ 2 giây
3. Nhập tiếp "0"
4. Chờ 3 giây
5. Kiểm tra API được gọi</t>
  </si>
  <si>
    <t>5. App chỉ gọi 1 lần API sau khi ngừng gõ 3 giây. Trong quá trình gõ liên tục, timer debounce reset mỗi lần nhập mới.</t>
  </si>
  <si>
    <t>TC_036</t>
  </si>
  <si>
    <t>[Ô tìm kiếm] Kiểm tra xóa từ khóa → danh sách reset về mặc định</t>
  </si>
  <si>
    <t>Đã nhập "N102" và có kết quả filter.</t>
  </si>
  <si>
    <t>1. Xóa toàn bộ nội dung ô tìm kiếm
2. Chờ debounce
3. Kiểm tra danh sách</t>
  </si>
  <si>
    <t>3. Sau debounce, danh sách quay trở về trạng thái mặc định (hiển thị tất cả lô đất, sắp xếp A-Z, lazy load 20 bản ghi).</t>
  </si>
  <si>
    <t>TC_037</t>
  </si>
  <si>
    <t>[Ô tìm kiếm] Kiểm tra tìm kiếm không phân biệt chữ hoa/thường</t>
  </si>
  <si>
    <t>1. Nhập "n102" (chữ thường)
2. Chờ debounce
3. Kiểm tra kết quả
4. Xóa, nhập lại "N102" (chữ hoa)
5. So sánh kết quả</t>
  </si>
  <si>
    <t>3 &amp; 5. Cả 2 trường hợp đều trả về cùng kết quả chứa lô đất "N102".</t>
  </si>
  <si>
    <t>EP</t>
  </si>
  <si>
    <t>TC_038</t>
  </si>
  <si>
    <t>[Ô tìm kiếm] Kiểm tra xử lý ký tự đặc biệt</t>
  </si>
  <si>
    <t>1. Nhập "!@#$" vào ô tìm kiếm
2. Chờ debounce
3. Kiểm tra phản hồi</t>
  </si>
  <si>
    <t>3. App không crash, trả về empty state "Không tìm thấy kết quả." hoặc danh sách phù hợp nếu có; xử lý input an toàn.</t>
  </si>
  <si>
    <t>TC_039</t>
  </si>
  <si>
    <t>[Ô tìm kiếm] Kiểm tra nhập chỉ toàn khoảng trắng</t>
  </si>
  <si>
    <t>1. Nhập "     " (5 khoảng trắng)
2. Chờ debounce
3. Kiểm tra phản hồi</t>
  </si>
  <si>
    <t>3. App xử lý như trống (trim), hiển thị danh sách mặc định (không filter).</t>
  </si>
  <si>
    <t>TC_040</t>
  </si>
  <si>
    <t>[Ô tìm kiếm] Kiểm tra tìm kiếm tiếng Việt có dấu</t>
  </si>
  <si>
    <t>Đã có lô đất có tên chứa "Đình".</t>
  </si>
  <si>
    <t>1. Nhập "Đình" vào ô tìm kiếm
2. Chờ debounce
3. Kiểm tra kết quả</t>
  </si>
  <si>
    <t>3. App trả về danh sách lô đất có tên chứa "Đình", giữ nguyên dấu tiếng Việt.</t>
  </si>
  <si>
    <t>TC_041</t>
  </si>
  <si>
    <t>[Ô tìm kiếm] Kiểm tra nhập đúng 500 ký tự (BVA max)</t>
  </si>
  <si>
    <t>1. Paste/nhập đúng 500 ký tự vào ô tìm kiếm
2. Chờ debounce
3. Kiểm tra hành vi</t>
  </si>
  <si>
    <t>2. App cho phép nhập đủ 500 ký tự.
3. Thực hiện tìm kiếm bình thường.</t>
  </si>
  <si>
    <t>BVA = 500, CMR-01</t>
  </si>
  <si>
    <t>TC_042</t>
  </si>
  <si>
    <t>[Ô tìm kiếm] Kiểm tra block nhập ký tự thứ 501 (BVA max + 1)</t>
  </si>
  <si>
    <t>Đã nhập đủ 500 ký tự.</t>
  </si>
  <si>
    <t>1. Cố gõ thêm 1 ký tự (ký tự thứ 501)
2. Cố paste thêm 1 ký tự
3. Kiểm tra hành vi</t>
  </si>
  <si>
    <t>1 &amp; 2. App block không cho nhập thêm. Số ký tự giữ nguyên ở 500.</t>
  </si>
  <si>
    <t>BVA = 501, CMR-01</t>
  </si>
  <si>
    <t>TC_043</t>
  </si>
  <si>
    <t>[Ô tìm kiếm] Kiểm tra nhập 1 ký tự (BVA min)</t>
  </si>
  <si>
    <t>1. Nhập 1 ký tự (ví dụ "N")
2. Chờ debounce
3. Kiểm tra kết quả</t>
  </si>
  <si>
    <t>3. App thực hiện tìm kiếm bình thường, trả về kết quả chứa "N".</t>
  </si>
  <si>
    <t>BVA = 1</t>
  </si>
  <si>
    <t>TC_044</t>
  </si>
  <si>
    <t>[Ô tìm kiếm] Kiểm tra hiển thị lỗi timeout khi tìm kiếm quá 10 giây</t>
  </si>
  <si>
    <t>Giả lập server phản hồi chậm.</t>
  </si>
  <si>
    <t>1. Nhập keyword bất kỳ
2. Chờ &gt; 10 giây
3. Kiểm tra hiển thị</t>
  </si>
  <si>
    <t>3. App hiển thị thông báo timeout kèm nút [Thử lại] theo CMR-07/CMR-16.</t>
  </si>
  <si>
    <t>CMR-16</t>
  </si>
  <si>
    <t>TC_045</t>
  </si>
  <si>
    <t>[Ô tìm kiếm] Kiểm tra hiển thị empty state "Không tìm thấy kết quả."</t>
  </si>
  <si>
    <t>1. Nhập keyword không tồn tại (ví dụ "XYZ99")
2. Chờ debounce
3. Kiểm tra hiển thị</t>
  </si>
  <si>
    <t>3. App hiển thị "Không tìm thấy kết quả." căn giữa vùng nội dung (CMR-14).</t>
  </si>
  <si>
    <t>TC_046</t>
  </si>
  <si>
    <t>[Card lô đất] Kiểm tra tap Card để điều hướng sang màn [Chi tiết lô đất]</t>
  </si>
  <si>
    <t>Đã vào màn hình [Danh sách quỹ đất] có ít nhất 1 Card.</t>
  </si>
  <si>
    <t>1. Tap vào Card lô đất bất kỳ
2. Kiểm tra điều hướng</t>
  </si>
  <si>
    <t>2. App điều hướng sang màn [Chi tiết lô đất], hiển thị thông tin lô đất tương ứng, header "Chi tiết lô đất".</t>
  </si>
  <si>
    <t>TC_047</t>
  </si>
  <si>
    <t>[Card lô đất] Kiểm tra debounce double-tap — chỉ navigate 1 lần</t>
  </si>
  <si>
    <t>1. Tap nhanh 2-3 lần liên tiếp cùng 1 Card
2. Kiểm tra stack navigation</t>
  </si>
  <si>
    <t>2. App chỉ mở 1 màn [Chi tiết lô đất], không stack 2-3 màn.</t>
  </si>
  <si>
    <t>CMR-18</t>
  </si>
  <si>
    <t>TC_048</t>
  </si>
  <si>
    <t>[Pull-to-Refresh] Kiểm tra happy path kéo xuống để reload danh sách</t>
  </si>
  <si>
    <t>Đã vào màn hình [Danh sách quỹ đất] có dữ liệu.</t>
  </si>
  <si>
    <t>1. Kéo xuống từ đầu danh sách
2. Chờ spinner reload
3. Kiểm tra danh sách sau reload</t>
  </si>
  <si>
    <t>2. Spinner/animation hiển thị ở đầu list, app gọi API reload.
3. Cập nhật danh sách mới, ẩn spinner.</t>
  </si>
  <si>
    <t>CMR-13, Section 5.3</t>
  </si>
  <si>
    <t>TC_049</t>
  </si>
  <si>
    <t>[Pull-to-Refresh] Kiểm tra giữ nguyên filter và keyword hiện tại khi refresh</t>
  </si>
  <si>
    <t>Đang có filter KCN = "KCN A" + keyword "N10".</t>
  </si>
  <si>
    <t>1. Kéo xuống refresh
2. Kiểm tra danh sách sau reload
3. Kiểm tra ô tìm kiếm và icon [Lọc]</t>
  </si>
  <si>
    <t>2. Danh sách reload với cùng filter/keyword (không reset).
3. Keyword "N10" vẫn ở ô tìm kiếm, icon [Lọc] vẫn có indicator active.</t>
  </si>
  <si>
    <t>CMR-13</t>
  </si>
  <si>
    <t>TC_050</t>
  </si>
  <si>
    <t>[Pull-to-Refresh] Kiểm tra refresh thất bại — giữ data cũ + thông báo lỗi</t>
  </si>
  <si>
    <t>Đã có data hiển thị trên màn hình.</t>
  </si>
  <si>
    <t>1. Tắt mạng
2. Kéo xuống refresh
3. Kiểm tra hiển thị</t>
  </si>
  <si>
    <t>3. Spinner ẩn; danh sách cũ vẫn hiển thị; toast/thông báo lỗi theo CMR-07 "Không thể kết nối...".</t>
  </si>
  <si>
    <t>CMR-07, CMR-13</t>
  </si>
  <si>
    <t>TC_051</t>
  </si>
  <si>
    <t>[Pull-to-Refresh] Kiểm tra không duplicate khi đang lazy load</t>
  </si>
  <si>
    <t>Đã vào màn hình, đang trong quá trình lazy load 20 bản ghi tiếp theo.</t>
  </si>
  <si>
    <t>1. Trong khi spinner lazy load đang hiển thị, kéo xuống refresh
2. Kiểm tra số request API</t>
  </si>
  <si>
    <t>2. App không trigger API refresh mới cho đến khi lazy load hoàn tất. Không duplicate request.</t>
  </si>
  <si>
    <t>TC_052</t>
  </si>
  <si>
    <t>[Pull-to-Refresh] Kiểm tra kéo nhiều lần liên tiếp chỉ 1 lần gọi API</t>
  </si>
  <si>
    <t>1. Kéo pull-to-refresh 2-3 lần liên tiếp trong khi API lần đầu chưa trả về
2. Kiểm tra số lần gọi API</t>
  </si>
  <si>
    <t>2. App chỉ trigger 1 lần API refresh.</t>
  </si>
  <si>
    <t>TC_053</t>
  </si>
  <si>
    <t>[Màn hình Danh sách quỹ đất] Kiểm tra state persistence giữ keyword khi quay lại từ [Chi tiết]</t>
  </si>
  <si>
    <t>1. Nhập "N10" vào ô tìm kiếm, chờ kết quả
2. Tap vào 1 Card → mở [Chi tiết]
3. Tap nút [Quay lại] ←
4. Kiểm tra danh sách</t>
  </si>
  <si>
    <t>4. Ô tìm kiếm vẫn hiển thị "N10", danh sách vẫn là kết quả đã filter theo "N10", vị trí cuộn được giữ nguyên.</t>
  </si>
  <si>
    <t>Section 5.2</t>
  </si>
  <si>
    <t>TC_054</t>
  </si>
  <si>
    <t>[Màn hình Danh sách quỹ đất] Kiểm tra state persistence giữ filter khi quay lại từ [Chi tiết]</t>
  </si>
  <si>
    <t>Đã áp dụng filter (ví dụ KCN = "KCN A", Tình trạng = "Còn trống").</t>
  </si>
  <si>
    <t>1. Tap vào Card → mở [Chi tiết]
2. Tap [Quay lại] ←
3. Kiểm tra danh sách và icon [Lọc]</t>
  </si>
  <si>
    <t>3. Danh sách vẫn là kết quả đã filter (KCN A + Còn trống); icon [Lọc] vẫn có indicator active.</t>
  </si>
  <si>
    <t>TC_055</t>
  </si>
  <si>
    <t>[Partial load] Kiểm tra API danh sách OK nhưng API danh mục KCN fail</t>
  </si>
  <si>
    <t>Giả lập API danh sách lô đất thành công, API danh mục KCN trả lỗi.</t>
  </si>
  <si>
    <t>1. Vào màn hình [Danh sách quỹ đất]
2. Quan sát danh sách
3. Mở Bottom Sheet [Lọc]
4. Kiểm tra dropdown KCN</t>
  </si>
  <si>
    <t>2. Danh sách hiển thị bình thường (không block toàn màn).
4. Dropdown KCN hiển thị empty option hoặc thông báo lỗi cục bộ; các dropdown khác vẫn hoạt động.</t>
  </si>
  <si>
    <t>Section 3.4</t>
  </si>
  <si>
    <t>TC_056</t>
  </si>
  <si>
    <t>[Partial load] Kiểm tra API danh sách fail nhưng API KCN OK</t>
  </si>
  <si>
    <t>Giả lập API danh sách lô đất fail, API KCN thành công.</t>
  </si>
  <si>
    <t>1. Vào màn hình [Danh sách quỹ đất]
2. Quan sát màn hình
3. Mở Bottom Sheet [Lọc]
4. Kiểm tra dropdown KCN</t>
  </si>
  <si>
    <t>2. Màn hình danh sách hiển thị thông báo lỗi/empty kèm nút [Thử lại].
4. Dropdown KCN load được options bình thường.</t>
  </si>
  <si>
    <t>TC_057</t>
  </si>
  <si>
    <t>[Session 401] Kiểm tra auto refresh token khi access token hết hạn</t>
  </si>
  <si>
    <t>Access token đã hết hạn nhưng refresh token còn hiệu lực (&lt;15 ngày).</t>
  </si>
  <si>
    <t>1. Thực hiện thao tác bất kỳ trên màn [Danh sách quỹ đất]
2. Kiểm tra hành vi app</t>
  </si>
  <si>
    <t>2. App tự động gọi API refresh token, nhận access token mới, retry request ban đầu thành công. Người dùng không bị gián đoạn.</t>
  </si>
  <si>
    <t>Section 3.3, CMR-07 v1.1</t>
  </si>
  <si>
    <t>TC_058</t>
  </si>
  <si>
    <t>[Session 401] Kiểm tra redirect login khi refresh token quá 15 ngày</t>
  </si>
  <si>
    <t>Refresh token đã hết hạn (&gt; 15 ngày) hoặc không hợp lệ.</t>
  </si>
  <si>
    <t>1. Thực hiện thao tác bất kỳ (load danh sách, tap card, etc.)
2. Kiểm tra hành vi app</t>
  </si>
  <si>
    <t>2. App redirect về màn [Đăng nhập]. Hiển thị toast "Phiên đăng nhập hết hạn.".</t>
  </si>
  <si>
    <t>Section 3.3</t>
  </si>
  <si>
    <t>TC_059</t>
  </si>
  <si>
    <t>[Đa ngôn ngữ] Kiểm tra switch ngôn ngữ — text cứng đổi theo</t>
  </si>
  <si>
    <t>Đã vào màn hình [Danh sách quỹ đất] với ngôn ngữ tiếng Việt.</t>
  </si>
  <si>
    <t>1. Mở [Settings], switch ngôn ngữ sang English (hoặc ngôn ngữ khác)
2. Quay lại màn [Danh sách quỹ đất]
3. Kiểm tra header, placeholder, empty state, label</t>
  </si>
  <si>
    <t>3. Header "Quản lý quỹ đất", placeholder "Tìm kiếm tên lô đất...", thông báo "Không có dữ liệu." và các text cứng khác đổi theo ngôn ngữ đã chọn.</t>
  </si>
  <si>
    <t>CMR-17</t>
  </si>
  <si>
    <t>TC_060</t>
  </si>
  <si>
    <t>[Đa ngôn ngữ] Kiểm tra dữ liệu API giữ nguyên bản khi switch ngôn ngữ</t>
  </si>
  <si>
    <t>Đã vào màn hình [Danh sách quỹ đất] với tiếng Việt.</t>
  </si>
  <si>
    <t>1. Switch ngôn ngữ sang English
2. Quay lại màn [Danh sách quỹ đất]
3. Kiểm tra dữ liệu trên Card</t>
  </si>
  <si>
    <t>3. Tên lô đất, mã/tên KCN, vị trí (dữ liệu từ API) KHÔNG đổi theo ngôn ngữ, giữ nguyên bản tiếng Việt từ BE.</t>
  </si>
  <si>
    <t>TC_061</t>
  </si>
  <si>
    <t>[Đa ngôn ngữ] Kiểm tra lưu ngôn ngữ sau khi đóng/mở app</t>
  </si>
  <si>
    <t>Đã switch ngôn ngữ sang English.</t>
  </si>
  <si>
    <t>1. Đóng app (force close)
2. Mở lại app
3. Vào màn [Danh sách quỹ đất]
4. Kiểm tra ngôn ngữ hiển thị</t>
  </si>
  <si>
    <t>4. App giữ nguyên ngôn ngữ English (không reset về mặc định tiếng Việt).</t>
  </si>
  <si>
    <t>TC_062</t>
  </si>
  <si>
    <t>[Force close] Kiểm tra force close và mở lại giữ session</t>
  </si>
  <si>
    <t>Đã vào màn [Danh sách quỹ đất] với search + filter active.</t>
  </si>
  <si>
    <t>1. Force close app (không uninstall)
2. Mở lại app
3. Kiểm tra màn hình mở</t>
  </si>
  <si>
    <t>3. App quay về [Trang chủ] (KHÔNG restore state search/filter UC40). Session vẫn hợp lệ, không yêu cầu đăng nhập lại.</t>
  </si>
  <si>
    <t>TC_063</t>
  </si>
  <si>
    <t>[Uninstall] Kiểm tra uninstall và cài lại yêu cầu đăng nhập</t>
  </si>
  <si>
    <t>App đang login.</t>
  </si>
  <si>
    <t>1. Uninstall app
2. Cài lại app
3. Mở app
4. Kiểm tra màn hình mở</t>
  </si>
  <si>
    <t>4. App yêu cầu đăng nhập lại từ đầu (session không restore).</t>
  </si>
  <si>
    <t>Check common</t>
  </si>
  <si>
    <t>Kiểm tra các trường hợp phổ biến UI/UX</t>
  </si>
  <si>
    <t>TC_064</t>
  </si>
  <si>
    <t>[Màn hình Danh sách quỹ đất] Kiểm tra hiển thị dữ liệu tối đa (maxlength)</t>
  </si>
  <si>
    <t>Đã vào màn hình Màn hình Danh sách quỹ đất.</t>
  </si>
  <si>
    <t>1. Nhập dữ liệu đạt độ dài tối đa theo quy định của các trường trên màn hình
2. Kiểm tra hiển thị trên màn hình</t>
  </si>
  <si>
    <t>2. Hiển thị đúng độ dài tối đa, không tràn layout, không cắt text không mong muốn.</t>
  </si>
  <si>
    <t>TC_065</t>
  </si>
  <si>
    <t>[Màn hình Danh sách quỹ đất] Kiểm tra khôi phục/phóng to/thu nhỏ ứng dụng</t>
  </si>
  <si>
    <t>1. Mở ứng dụng
2. Thực hiện khôi phục, phóng to, thu nhỏ ứng dụng
3. Kiểm tra hiển thị</t>
  </si>
  <si>
    <t>3. Không xảy ra lỗi bất thường, giao diện không bị vỡ.</t>
  </si>
  <si>
    <t>TC_066</t>
  </si>
  <si>
    <t>[Màn hình Danh sách quỹ đất] Kiểm tra tính nhất quán của các thông báo</t>
  </si>
  <si>
    <t>1. Kích hoạt các thông báo lỗi inline và thông báo toast trên màn hình
2. Kiểm tra hiển thị các thông báo</t>
  </si>
  <si>
    <t>2. Xác nhận thông báo lỗi:
- Thông báo lỗi inline: hiển thị dưới ô nhập liệu bị lỗi, màu đỏ.
- Thông báo lỗi dạng toast: hiển thị ở giữa hoặc phía dưới màn hình.</t>
  </si>
  <si>
    <t>TC_067</t>
  </si>
  <si>
    <t>[Màn hình Danh sách quỹ đất] Kiểm tra hiển thị khi thiết bị ở chế độ dọc (thiết bị xoay theo chiều đứng)</t>
  </si>
  <si>
    <t>1. Đặt thiết bị ở chế độ dọc
2. Kiểm tra hiển thị màn hình</t>
  </si>
  <si>
    <t>2. Không có lỗi gì xảy ra, giao diện không bị vỡ.</t>
  </si>
  <si>
    <t>TC_068</t>
  </si>
  <si>
    <t>[Màn hình Danh sách quỹ đất] Kiểm tra hiển thị khi thiết bị ở chế độ ngang (thiết bị xoay theo chiều ngang)</t>
  </si>
  <si>
    <t>1. Đặt thiết bị ở chế độ ngang
2. Kiểm tra hiển thị màn hình</t>
  </si>
  <si>
    <t>TC_069</t>
  </si>
  <si>
    <t>[Màn hình Danh sách quỹ đất] Kiểm tra hiển thị khi chuyển đổi giữa chế độ dọc và ngang</t>
  </si>
  <si>
    <t>1. Chuyển thiết bị từ chế độ dọc sang ngang
2. Chuyển thiết bị từ chế độ ngang sang dọc
3. Kiểm tra hiển thị</t>
  </si>
  <si>
    <t>1 &amp; 2. Không có lỗi gì xảy ra, giao diện không bị vỡ.</t>
  </si>
  <si>
    <t>TC_070</t>
  </si>
  <si>
    <t>[Màn hình Danh sách quỹ đất] Kiểm tra hiển thị khi thiết bị sử dụng cỡ chữ lớn nhất</t>
  </si>
  <si>
    <t>1. Cấu hình cỡ chữ thiết bị ở mức lớn nhất
2. Mở ứng dụng và kiểm tra hiển thị</t>
  </si>
  <si>
    <t>2. Giao diện không bị vỡ, các nhãn và nội dung vẫn đọc được.</t>
  </si>
  <si>
    <t>TC_071</t>
  </si>
  <si>
    <t>[Màn hình Danh sách quỹ đất] Kiểm tra hiển thị khi thiết bị sử dụng cỡ chữ nhỏ nhất</t>
  </si>
  <si>
    <t>1. Cấu hình cỡ chữ thiết bị ở mức nhỏ nhất
2. Mở ứng dụng và kiểm tra hiển thị</t>
  </si>
  <si>
    <t>Kiểm tra tương tác cơ bản với thiết bị</t>
  </si>
  <si>
    <t>TC_072</t>
  </si>
  <si>
    <t>[Màn hình Danh sách quỹ đất] Xác nhận hiển thị của ứng dụng khi người dùng chạm vào nút [Quay lại] trên thiết bị Android</t>
  </si>
  <si>
    <t>1. Mở ứng dụng
2. Người dùng chạm vào nút [Quay lại] trên thiết bị Android
3. Kiểm tra hiển thị</t>
  </si>
  <si>
    <t>3. Quay lại màn hình trước đó.</t>
  </si>
  <si>
    <t>TC_073</t>
  </si>
  <si>
    <t>[Màn hình Danh sách quỹ đất] Xác nhận hiển thị của ứng dụng khi người dùng vuốt từ trái sang phải trên thiết bị iOS</t>
  </si>
  <si>
    <t>1. Mở ứng dụng
2. Người dùng vuốt từ trái sang phải trên thiết bị iOS
3. Kiểm tra hiển thị</t>
  </si>
  <si>
    <t>TC_074</t>
  </si>
  <si>
    <t>[Màn hình Danh sách quỹ đất] Xác nhận hiển thị của ứng dụng khi người dùng tắt và mở lại ứng dụng</t>
  </si>
  <si>
    <t>1. Mở ứng dụng
2. Người dùng tắt ứng dụng
3. Mở lại ứng dụng
4. Kiểm tra hiển thị</t>
  </si>
  <si>
    <t>4. Ứng dụng mở lại từ trạng thái ban đầu (Trang chủ), session vẫn hợp lệ.</t>
  </si>
  <si>
    <t>TC_075</t>
  </si>
  <si>
    <t>[Màn hình Danh sách quỹ đất] Kiểm tra chế độ đa nhiệm (multitasking)</t>
  </si>
  <si>
    <t>1. Mở ứng dụng
2. Trở về màn hình chính (không tắt ứng dụng)
3. Mở lại ứng dụng
4. Kiểm tra hiển thị</t>
  </si>
  <si>
    <t>4. Ứng dụng giữ nguyên ở trạng thái hiện tại.</t>
  </si>
  <si>
    <t>TC_076</t>
  </si>
  <si>
    <t>[Màn hình Danh sách quỹ đất] Xác nhận hiển thị của ứng dụng khi người dùng khóa và mở khóa màn hình thiết bị</t>
  </si>
  <si>
    <t>1. Mở ứng dụng
2. Khóa thiết bị
3. Mở khóa thiết bị
4. Kiểm tra hiển thị</t>
  </si>
  <si>
    <t>4. Giữ nguyên trạng thái hiện tại của ứng dụng.</t>
  </si>
  <si>
    <t>TC_077</t>
  </si>
  <si>
    <t>[Màn hình Danh sách quỹ đất] Kiểm tra hành động kéo xuống để làm mới (pull-to-refresh)</t>
  </si>
  <si>
    <t>3. Hiển thị dữ liệu mới nhất của màn hình.</t>
  </si>
  <si>
    <t>TC_078</t>
  </si>
  <si>
    <t>[Màn hình Danh sách quỹ đất] Kiểm tra hành động cuộn xuống để tải thêm (scroll-down-to-load-more)</t>
  </si>
  <si>
    <t>2. Hiển thị thêm dữ liệu mới (lazy load 20 bản ghi/lần).</t>
  </si>
  <si>
    <t>TC_079</t>
  </si>
  <si>
    <t>[Màn hình Danh sách quỹ đất] Kiểm tra phản hồi của ứng dụng khi thiết bị nhận được thông báo từ ứng dụng khác</t>
  </si>
  <si>
    <t>3. Không có lỗi nào xảy ra, ứng dụng vẫn hoạt động bình thường.</t>
  </si>
  <si>
    <t>2. Bộ lọc tìm kiếm (Bottom Sheet)</t>
  </si>
  <si>
    <t>TC_080</t>
  </si>
  <si>
    <t>[Bottom Sheet Lọc] Kiểm tra UI/UX tổng thể khi mở Bottom Sheet lần đầu</t>
  </si>
  <si>
    <t>Đã vào màn [Danh sách quỹ đất].</t>
  </si>
  <si>
    <t>1. Nhấn icon [Lọc]
2. Kiểm tra hiển thị Bottom Sheet</t>
  </si>
  <si>
    <t>TC_081</t>
  </si>
  <si>
    <t>[Header Bottom Sheet] Kiểm tra hiển thị Header của Bottom Sheet Lọc</t>
  </si>
  <si>
    <t>Đã vào màn [Danh sách quỹ đất], tap icon [Lọc] để mở Bottom Sheet.</t>
  </si>
  <si>
    <t>1. Kiểm tra hiển thị phần Header của Bottom Sheet</t>
  </si>
  <si>
    <t>1.
- Hiển thị tiêu đề "Bộ lọc" (hoặc tương đương theo Design)
- Nút "X" đóng ở góc phải trên cùng
- Layout, font, màu sắc giống Design</t>
  </si>
  <si>
    <t>TC_082</t>
  </si>
  <si>
    <t>[Dropdown KCN] Kiểm tra hiển thị mặc định dropdown Khu công nghiệp</t>
  </si>
  <si>
    <t>Đã mở Bottom Sheet [Lọc] lần đầu (chưa chỉnh filter).</t>
  </si>
  <si>
    <t>1. Kiểm tra hiển thị dropdown Khu công nghiệp</t>
  </si>
  <si>
    <t>CMR-03</t>
  </si>
  <si>
    <t>TC_083</t>
  </si>
  <si>
    <t>[Dropdown Tình trạng quỹ đất] Kiểm tra hiển thị mặc định</t>
  </si>
  <si>
    <t>Đã mở Bottom Sheet [Lọc] lần đầu.</t>
  </si>
  <si>
    <t>1. Kiểm tra hiển thị dropdown Tình trạng quỹ đất</t>
  </si>
  <si>
    <t>TC_084</t>
  </si>
  <si>
    <t>[Dropdown Tình trạng công bố] Kiểm tra hiển thị mặc định</t>
  </si>
  <si>
    <t>1. Kiểm tra hiển thị dropdown Tình trạng công bố</t>
  </si>
  <si>
    <t>TC_085</t>
  </si>
  <si>
    <t>[Nút Nhập lại] Kiểm tra hiển thị mặc định nút Nhập lại</t>
  </si>
  <si>
    <t>Đã mở Bottom Sheet [Lọc].</t>
  </si>
  <si>
    <t>1. Kiểm tra hiển thị nút [Nhập lại]</t>
  </si>
  <si>
    <t>1.
- Text "Nhập lại"
- Style secondary (outline / viền, không filled)
- Trạng thái Enabled
- Vị trí bên trái (hoặc theo Design)</t>
  </si>
  <si>
    <t>TC_086</t>
  </si>
  <si>
    <t>[Nút Áp dụng] Kiểm tra hiển thị mặc định nút Áp dụng</t>
  </si>
  <si>
    <t>Đã mở Bottom Sheet [Lọc] lần đầu (không có validation error).</t>
  </si>
  <si>
    <t>1. Kiểm tra hiển thị nút [Áp dụng]</t>
  </si>
  <si>
    <t>1.
- Text "Áp dụng"
- Style primary (filled, màu chủ đạo)
- Trạng thái Enabled (không grayed out)
- Vị trí bên phải (hoặc theo Design)</t>
  </si>
  <si>
    <t>TC_087</t>
  </si>
  <si>
    <t>[Bottom Sheet Lọc] Kiểm tra giá trị mặc định của tất cả 5 trường khi mở lần đầu</t>
  </si>
  <si>
    <t>Chưa từng mở Bottom Sheet trong session.</t>
  </si>
  <si>
    <t>1. Tap icon [Lọc]
2. Kiểm tra giá trị mặc định từng trường</t>
  </si>
  <si>
    <t>TC_088</t>
  </si>
  <si>
    <t>[Ô Diện tích Từ] Kiểm tra placeholder "từ"</t>
  </si>
  <si>
    <t>1. Quan sát ô Diện tích (Từ) khi chưa nhập</t>
  </si>
  <si>
    <t>TC_089</t>
  </si>
  <si>
    <t>[Ô Diện tích Đến] Kiểm tra placeholder "đến"</t>
  </si>
  <si>
    <t>1. Quan sát ô Diện tích (Đến) khi chưa nhập</t>
  </si>
  <si>
    <t>TC_090</t>
  </si>
  <si>
    <t>[Icon Lọc] Kiểm tra indicator filter active sau khi áp dụng</t>
  </si>
  <si>
    <t>Đã áp dụng filter KCN = "KCN A".</t>
  </si>
  <si>
    <t>1. Quay về màn [Danh sách quỹ đất]
2. Quan sát icon [Lọc]
3. Nhấn [Nhập lại] trong Bottom Sheet → [Áp dụng]
4. Quan sát icon [Lọc] lại</t>
  </si>
  <si>
    <t>2. Icon [Lọc] có indicator (dấu chấm/icon xanh lá) ở góc phải trên.
4. Indicator biến mất.</t>
  </si>
  <si>
    <t>TC_091</t>
  </si>
  <si>
    <t>[Icon Lọc] Kiểm tra mở Bottom Sheet khi tap icon Lọc</t>
  </si>
  <si>
    <t>1. Nhấn icon [Lọc]
2. Kiểm tra hiển thị</t>
  </si>
  <si>
    <t>2. Bottom Sheet [Lọc] mở từ dưới lên với 5 trường + 3 nút (Áp dụng, Nhập lại, X).</t>
  </si>
  <si>
    <t>CMR-02</t>
  </si>
  <si>
    <t>TC_092</t>
  </si>
  <si>
    <t>[Bottom Sheet Lọc] Kiểm tra đóng Bottom Sheet bằng nút X</t>
  </si>
  <si>
    <t>Đã mở Bottom Sheet [Lọc], đã chỉnh vài tiêu chí.</t>
  </si>
  <si>
    <t>1. Nhấn nút [X] ở góc phải trên
2. Kiểm tra</t>
  </si>
  <si>
    <t>2. Bottom Sheet đóng. Danh sách phía sau KHÔNG thay đổi (giữ nguyên kết quả trước khi mở).</t>
  </si>
  <si>
    <t>TC_093</t>
  </si>
  <si>
    <t>[Bottom Sheet Lọc] Kiểm tra đóng Bottom Sheet bằng tap vùng ngoài</t>
  </si>
  <si>
    <t>1. Tap vào vùng overlay bên ngoài Bottom Sheet
2. Kiểm tra</t>
  </si>
  <si>
    <t>2. Bottom Sheet đóng. Danh sách phía sau KHÔNG thay đổi.</t>
  </si>
  <si>
    <t>TC_094</t>
  </si>
  <si>
    <t>[Bottom Sheet Lọc] Kiểm tra đóng Bottom Sheet bằng nút Back vật lý (Android)</t>
  </si>
  <si>
    <t>Đã mở Bottom Sheet [Lọc] trên thiết bị Android.</t>
  </si>
  <si>
    <t>1. Nhấn nút [Back] vật lý trên thiết bị
2. Kiểm tra</t>
  </si>
  <si>
    <t>2. Bottom Sheet đóng. App không thoát màn [Danh sách quỹ đất].
Note: Hành vi đúng pending Q9 — placeholder theo platform convention Android.</t>
  </si>
  <si>
    <t>Q9 parking lot</t>
  </si>
  <si>
    <t>TC_095</t>
  </si>
  <si>
    <t>[Dropdown KCN] Kiểm tra mở dropdown có ô search</t>
  </si>
  <si>
    <t>1. Tap vào dropdown KCN
2. Kiểm tra hiển thị</t>
  </si>
  <si>
    <t>1. Dropdown mở thành danh sách có ô search ở trên cùng + danh sách KCN sắp xếp A-Z. Giá trị "Tất cả các KCN" ở đầu tiên.</t>
  </si>
  <si>
    <t>TC_096</t>
  </si>
  <si>
    <t>[Dropdown KCN] Kiểm tra nhập keyword filter options</t>
  </si>
  <si>
    <t>Đã mở Bottom Sheet [Lọc], đã tap dropdown KCN.</t>
  </si>
  <si>
    <t>1. Nhập "Đình" vào ô search của dropdown
2. Kiểm tra danh sách option</t>
  </si>
  <si>
    <t>2. Danh sách option filter còn các KCN chứa "Đình" (gần đúng), các option khác ẩn.</t>
  </si>
  <si>
    <t>TC_097</t>
  </si>
  <si>
    <t>[Dropdown KCN] Kiểm tra sắp xếp A-Z trong dropdown</t>
  </si>
  <si>
    <t>Đã mở dropdown KCN.</t>
  </si>
  <si>
    <t>1. Quan sát thứ tự các KCN trong danh sách</t>
  </si>
  <si>
    <t>1. Các KCN sắp xếp theo thứ tự A-Z / 0-9.</t>
  </si>
  <si>
    <t>TC_098</t>
  </si>
  <si>
    <t>[Dropdown KCN] Kiểm tra chọn option → highlight khi mở lại</t>
  </si>
  <si>
    <t>1. Chọn 1 KCN (ví dụ "KCN A")
2. Dropdown tự đóng
3. Mở lại dropdown
4. Quan sát option đã chọn</t>
  </si>
  <si>
    <t>2. Dropdown tự đóng, giá trị hiển thị trên field = "KCN A".
4. Option "KCN A" được highlight/bold.</t>
  </si>
  <si>
    <t>TC_099</t>
  </si>
  <si>
    <t>[Dropdown KCN] Kiểm tra option tên dài truncate "..."</t>
  </si>
  <si>
    <t>Có KCN với tên dài &gt; giới hạn hiển thị.</t>
  </si>
  <si>
    <t>1. Mở dropdown KCN
2. Quan sát option có tên dài</t>
  </si>
  <si>
    <t>2. Option truncate với "..." ở cuối, không tràn layout.</t>
  </si>
  <si>
    <t>TC_100</t>
  </si>
  <si>
    <t>[Dropdown Tình trạng quỹ đất] Kiểm tra 3 giá trị</t>
  </si>
  <si>
    <t>1. Tap vào dropdown Tình trạng quỹ đất
2. Quan sát danh sách options</t>
  </si>
  <si>
    <t>2. Hiển thị đủ 3 options: "Tất cả" (mặc định), "Còn trống", "Đã cho thuê".</t>
  </si>
  <si>
    <t>TC_101</t>
  </si>
  <si>
    <t>[Dropdown Tình trạng công bố] Kiểm tra 3 giá trị</t>
  </si>
  <si>
    <t>1. Tap vào dropdown Tình trạng công bố
2. Quan sát danh sách options</t>
  </si>
  <si>
    <t>2. Hiển thị đủ 3 options: "Tất cả" (mặc định), "Đã công bố", "Chưa công bố".</t>
  </si>
  <si>
    <t>TC_102</t>
  </si>
  <si>
    <t>[Ô Diện tích Từ] Kiểm tra nhập số nguyên dương hợp lệ</t>
  </si>
  <si>
    <t>1. Tap vào ô Diện tích (Từ)
2. Nhập "1000"
3. Kiểm tra hiển thị</t>
  </si>
  <si>
    <t>3. Ô hiển thị "1,000" theo format hàng nghìn (CMR-11).</t>
  </si>
  <si>
    <t>TC_103</t>
  </si>
  <si>
    <t>[Ô Diện tích Từ] Kiểm tra block nhập chữ cái</t>
  </si>
  <si>
    <t>1. Nhập "abc" vào ô Diện tích (Từ)
2. Kiểm tra hiển thị</t>
  </si>
  <si>
    <t>2. App block không cho nhập chữ cái. Ô vẫn trống hoặc giữ giá trị cũ.</t>
  </si>
  <si>
    <t>TC_104</t>
  </si>
  <si>
    <t>[Ô Diện tích Từ] Kiểm tra block ký tự đặc biệt</t>
  </si>
  <si>
    <t>1. Nhập các ký tự "!@#%" vào ô Diện tích (Từ)
2. Kiểm tra hiển thị</t>
  </si>
  <si>
    <t>2. App block không cho nhập ký tự đặc biệt.</t>
  </si>
  <si>
    <t>TC_105</t>
  </si>
  <si>
    <t>[Ô Diện tích Từ] Kiểm tra block số âm</t>
  </si>
  <si>
    <t>1. Nhập "-100" vào ô Diện tích (Từ)
2. Kiểm tra hiển thị</t>
  </si>
  <si>
    <t>2. App block dấu "-" không cho nhập. Ô chỉ nhận ký tự số dương.</t>
  </si>
  <si>
    <t>TC_106</t>
  </si>
  <si>
    <t>[Ô Diện tích Từ] Kiểm tra block số thập phân</t>
  </si>
  <si>
    <t>1. Nhập "100.5" vào ô Diện tích (Từ)
2. Kiểm tra hiển thị</t>
  </si>
  <si>
    <t>2. App block dấu "." không cho nhập. Chỉ nhận số nguyên.</t>
  </si>
  <si>
    <t>TC_107</t>
  </si>
  <si>
    <t>[Ô Diện tích Đến] Kiểm tra nhập số nguyên dương hợp lệ</t>
  </si>
  <si>
    <t>1. Tap vào ô Diện tích (Đến)
2. Nhập "2000"
3. Kiểm tra hiển thị</t>
  </si>
  <si>
    <t>3. Ô hiển thị "2,000" theo format hàng nghìn (CMR-11).</t>
  </si>
  <si>
    <t>TC_108</t>
  </si>
  <si>
    <t>[Ô Diện tích Đến] Kiểm tra block nhập chữ cái</t>
  </si>
  <si>
    <t>1. Nhập "abc" vào ô Diện tích (Đến)
2. Kiểm tra hiển thị</t>
  </si>
  <si>
    <t>TC_109</t>
  </si>
  <si>
    <t>[Ô Diện tích Đến] Kiểm tra block ký tự đặc biệt</t>
  </si>
  <si>
    <t>1. Nhập các ký tự "!@#%" vào ô Diện tích (Đến)
2. Kiểm tra hiển thị</t>
  </si>
  <si>
    <t>TC_110</t>
  </si>
  <si>
    <t>[Ô Diện tích Đến] Kiểm tra block số âm</t>
  </si>
  <si>
    <t>1. Nhập "-200" vào ô Diện tích (Đến)
2. Kiểm tra hiển thị</t>
  </si>
  <si>
    <t>TC_111</t>
  </si>
  <si>
    <t>[Ô Diện tích Đến] Kiểm tra block số thập phân</t>
  </si>
  <si>
    <t>1. Nhập "200.5" vào ô Diện tích (Đến)
2. Kiểm tra hiển thị</t>
  </si>
  <si>
    <t>TC_112</t>
  </si>
  <si>
    <t>[Ô Diện tích Đến] Kiểm tra boundary nhập "0" → block (min=1)</t>
  </si>
  <si>
    <t>1. Nhập "0" vào ô Diện tích (Đến)
2. Tap sang ô khác hoặc [Áp dụng]
3. Kiểm tra hành vi</t>
  </si>
  <si>
    <t>3. App block hoặc hiển thị inline error: "Diện tích phải lớn hơn 0" (min=1). Nút [Áp dụng] Disabled.</t>
  </si>
  <si>
    <t>Q7 boundary min</t>
  </si>
  <si>
    <t>TC_113</t>
  </si>
  <si>
    <t>[Ô Diện tích Đến] Kiểm tra boundary nhập "1" → accept (min=1)</t>
  </si>
  <si>
    <t>1. Nhập "1" vào ô Diện tích (Đến)
2. Kiểm tra hành vi</t>
  </si>
  <si>
    <t>2. App chấp nhận (boundary min). Không có inline error.</t>
  </si>
  <si>
    <t>Q7 BVA = min</t>
  </si>
  <si>
    <t>TC_114</t>
  </si>
  <si>
    <t>[Ô Diện tích Đến] Kiểm tra nhập 499 chữ số (BVA Limit - 1)</t>
  </si>
  <si>
    <t>1. Paste số nguyên dương có 499 chữ số vào ô Diện tích (Đến)
2. Kiểm tra hành vi</t>
  </si>
  <si>
    <t>2. App chấp nhận đủ 499 chữ số, format hàng nghìn theo CMR-11.</t>
  </si>
  <si>
    <t>Q7 BVA = 499</t>
  </si>
  <si>
    <t>TC_115</t>
  </si>
  <si>
    <t>[Ô Diện tích Đến] Kiểm tra nhập đúng 500 chữ số (BVA max)</t>
  </si>
  <si>
    <t>1. Paste số nguyên dương có đúng 500 chữ số vào ô Diện tích (Đến)
2. Kiểm tra hành vi</t>
  </si>
  <si>
    <t>2. App chấp nhận đủ 500 chữ số (boundary max theo CMR-11).</t>
  </si>
  <si>
    <t>Q7 BVA = 500, CMR-11</t>
  </si>
  <si>
    <t>TC_116</t>
  </si>
  <si>
    <t>[Ô Diện tích Đến] Kiểm tra block chữ số thứ 501 (BVA max + 1)</t>
  </si>
  <si>
    <t>Đã nhập đủ 500 chữ số vào ô Diện tích (Đến).</t>
  </si>
  <si>
    <t>1. Cố gõ thêm 1 chữ số
2. Cố paste thêm
3. Kiểm tra</t>
  </si>
  <si>
    <t>1 &amp; 2. App block không cho nhập chữ số thứ 501. Ô vẫn giữ 500 chữ số.</t>
  </si>
  <si>
    <t>Q7 BVA = 501</t>
  </si>
  <si>
    <t>TC_117</t>
  </si>
  <si>
    <t>[Ô Diện tích Đến] Kiểm tra format hàng nghìn khi nhập</t>
  </si>
  <si>
    <t>1. Nhập "50000" vào ô Diện tích (Đến)
2. Kiểm tra hiển thị</t>
  </si>
  <si>
    <t>2. Ô hiển thị "50,000" theo format hàng nghìn CMR-11.</t>
  </si>
  <si>
    <t>TC_118</t>
  </si>
  <si>
    <t>[Ô Diện tích] Kiểm tra boundary nhập "0" → block (Q7 min=1)</t>
  </si>
  <si>
    <t>1. Nhập "0" vào ô Diện tích (Từ)
2. Tap sang ô khác hoặc [Áp dụng]
3. Kiểm tra hành vi</t>
  </si>
  <si>
    <t>3. App block input (không cho nhập ký tự "0" vào ô). Nút [Áp dụng] vẫn Enabled, không hiển thị inline error.</t>
  </si>
  <si>
    <t>TC_119</t>
  </si>
  <si>
    <t>[Ô Diện tích] Kiểm tra boundary nhập "1" → accept (Q7 min=1)</t>
  </si>
  <si>
    <t>1. Nhập "1" vào ô Diện tích (Từ)
2. Kiểm tra hành vi</t>
  </si>
  <si>
    <t>TC_120</t>
  </si>
  <si>
    <t>[Ô Diện tích] Kiểm tra nhập 499 chữ số (BVA Limit - 1)</t>
  </si>
  <si>
    <t>1. Paste số nguyên dương có 499 chữ số vào ô Diện tích (Từ)
2. Kiểm tra hành vi</t>
  </si>
  <si>
    <t>TC_121</t>
  </si>
  <si>
    <t>[Ô Diện tích] Kiểm tra nhập đúng 500 chữ số (BVA max)</t>
  </si>
  <si>
    <t>1. Paste số nguyên dương có đúng 500 chữ số vào ô Diện tích (Từ)
2. Kiểm tra hành vi</t>
  </si>
  <si>
    <t>TC_122</t>
  </si>
  <si>
    <t>[Ô Diện tích] Kiểm tra block chữ số thứ 501 (BVA max + 1)</t>
  </si>
  <si>
    <t>Đã nhập đủ 500 chữ số vào ô Diện tích (Từ).</t>
  </si>
  <si>
    <t>TC_123</t>
  </si>
  <si>
    <t>[Ô Diện tích] Kiểm tra validation Đến &gt; Từ — inline error + Áp dụng Disabled</t>
  </si>
  <si>
    <t>1. Nhập Từ = "1000"
2. Nhập Đến = "500"
3. Kiểm tra hiển thị</t>
  </si>
  <si>
    <t>3. Hiển thị inline error màu đỏ dưới ô Đến: "Diện tích (Đến) phải lớn hơn Diện tích (Từ)". Nút [Áp dụng] ở trạng thái Disabled (grayed out).</t>
  </si>
  <si>
    <t>Q4, Section 5.2</t>
  </si>
  <si>
    <t>TC_124</t>
  </si>
  <si>
    <t>[Ô Diện tích] Kiểm tra BVA — Đến = Từ</t>
  </si>
  <si>
    <t>1. Nhập Từ = "1000"
2. Nhập Đến = "1000"
3. Kiểm tra</t>
  </si>
  <si>
    <t>3. Hiển thị inline error (vì UC yêu cầu "phải lớn hơn"). Nút [Áp dụng] Disabled.</t>
  </si>
  <si>
    <t>BVA equal</t>
  </si>
  <si>
    <t>TC_125</t>
  </si>
  <si>
    <t>[Ô Diện tích] Kiểm tra BVA — Đến = Từ + 1</t>
  </si>
  <si>
    <t>1. Nhập Từ = "1000"
2. Nhập Đến = "1001"
3. Kiểm tra</t>
  </si>
  <si>
    <t>3. App chấp nhận, không có error. Nút [Áp dụng] Enabled.</t>
  </si>
  <si>
    <t>BVA +1</t>
  </si>
  <si>
    <t>TC_126</t>
  </si>
  <si>
    <t>[Ô Diện tích] Kiểm tra BVA — Đến = Từ - 1</t>
  </si>
  <si>
    <t>1. Nhập Từ = "1000"
2. Nhập Đến = "999"
3. Kiểm tra</t>
  </si>
  <si>
    <t>3. Hiển thị inline error. Nút [Áp dụng] Disabled.</t>
  </si>
  <si>
    <t>BVA -1</t>
  </si>
  <si>
    <t>TC_127</t>
  </si>
  <si>
    <t>[Ô Diện tích] Kiểm tra chỉ nhập Từ, để trống Đến</t>
  </si>
  <si>
    <t>1. Nhập Từ = "100"
2. Để trống Đến
3. Nhấn [Áp dụng]
4. Kiểm tra danh sách</t>
  </si>
  <si>
    <t>3. Không có error. [Áp dụng] Enabled.
4. App lọc lô đất có diện tích ≥ 100.</t>
  </si>
  <si>
    <t>TC_128</t>
  </si>
  <si>
    <t>[Ô Diện tích] Kiểm tra chỉ nhập Đến, để trống Từ</t>
  </si>
  <si>
    <t>1. Để trống Từ
2. Nhập Đến = "500"
3. Nhấn [Áp dụng]
4. Kiểm tra danh sách</t>
  </si>
  <si>
    <t>3. Không có error. [Áp dụng] Enabled.
4. App lọc lô đất có diện tích ≤ 500.</t>
  </si>
  <si>
    <t>TC_129</t>
  </si>
  <si>
    <t>[Ô Diện tích] Kiểm tra cả 2 trường trống — không lọc diện tích</t>
  </si>
  <si>
    <t>1. Để trống cả Từ và Đến
2. Nhấn [Áp dụng]
3. Kiểm tra danh sách</t>
  </si>
  <si>
    <t>3. App không áp dụng lọc theo diện tích (hiển thị lô đất bất kể diện tích).</t>
  </si>
  <si>
    <t>TC_130</t>
  </si>
  <si>
    <t>[Ô Diện tích] Kiểm tra format hàng nghìn khi nhập</t>
  </si>
  <si>
    <t>1. Nhập "50000" vào ô Diện tích (Từ)
2. Kiểm tra hiển thị</t>
  </si>
  <si>
    <t>TC_131</t>
  </si>
  <si>
    <t>[Nút Áp dụng] Kiểm tra trạng thái Disabled khi validation fail</t>
  </si>
  <si>
    <t>1. Nhập Từ = "500", Đến = "300"
2. Quan sát nút [Áp dụng]
3. Thử tap nút</t>
  </si>
  <si>
    <t>2. Nút [Áp dụng] ở trạng thái Disabled (grayed out).
3. Tap không có phản hồi.</t>
  </si>
  <si>
    <t>Q4</t>
  </si>
  <si>
    <t>TC_132</t>
  </si>
  <si>
    <t>[Nút Áp dụng] Kiểm tra chuyển Enabled sau khi fix validation</t>
  </si>
  <si>
    <t>Đã có validation error (Từ=1000, Đến=500), nút [Áp dụng] Disabled.</t>
  </si>
  <si>
    <t>1. Sửa Đến = "2000"
2. Quan sát inline error và nút [Áp dụng]</t>
  </si>
  <si>
    <t>2. Inline error biến mất. Nút [Áp dụng] chuyển sang Enabled (có màu primary).</t>
  </si>
  <si>
    <t>TC_133</t>
  </si>
  <si>
    <t>[Nút Áp dụng] Kiểm tra áp dụng filter KCN đơn lẻ</t>
  </si>
  <si>
    <t>1. Chọn KCN = "KCN A"
2. Nhấn [Áp dụng]
3. Kiểm tra</t>
  </si>
  <si>
    <t>3. Bottom Sheet đóng. Danh sách hiển thị chỉ các lô đất thuộc "KCN A". Icon [Lọc] có indicator active.</t>
  </si>
  <si>
    <t>TC_134</t>
  </si>
  <si>
    <t>[Nút Áp dụng] Kiểm tra áp dụng kết hợp KCN + Diện tích (Decision Table)</t>
  </si>
  <si>
    <t>1. Chọn KCN = "KCN A"
2. Nhập Từ = "1000", Đến = "5000"
3. Nhấn [Áp dụng]
4. Kiểm tra</t>
  </si>
  <si>
    <t>4. Danh sách lọc đúng cả 2 điều kiện (thuộc KCN A và diện tích 1000-5000).</t>
  </si>
  <si>
    <t>Decision Table</t>
  </si>
  <si>
    <t>TC_135</t>
  </si>
  <si>
    <t>[Nút Áp dụng] Kiểm tra áp dụng kết hợp KCN + TT quỹ đất</t>
  </si>
  <si>
    <t>1. Chọn KCN = "KCN A"
2. Chọn TT quỹ đất = "Còn trống"
3. Nhấn [Áp dụng]
4. Kiểm tra</t>
  </si>
  <si>
    <t>4. Danh sách hiển thị lô đất thuộc KCN A + còn trống.</t>
  </si>
  <si>
    <t>TC_136</t>
  </si>
  <si>
    <t>[Nút Áp dụng] Kiểm tra áp dụng kết hợp TT quỹ đất + TT công bố</t>
  </si>
  <si>
    <t>1. Chọn TT quỹ đất = "Đã cho thuê"
2. Chọn TT công bố = "Đã công bố"
3. Nhấn [Áp dụng]
4. Kiểm tra</t>
  </si>
  <si>
    <t>4. Danh sách hiển thị lô đất đã cho thuê + đã công bố (thỏa cả 2).</t>
  </si>
  <si>
    <t>TC_137</t>
  </si>
  <si>
    <t>[Nút Áp dụng] Kiểm tra áp dụng đủ 5 tiêu chí kết hợp</t>
  </si>
  <si>
    <t>1. Chọn KCN = "KCN A", Từ = "100", Đến = "5000", TT quỹ đất = "Còn trống", TT công bố = "Đã công bố"
2. Nhấn [Áp dụng]
3. Kiểm tra</t>
  </si>
  <si>
    <t>3. Danh sách thỏa toàn bộ 5 điều kiện.</t>
  </si>
  <si>
    <t>TC_138</t>
  </si>
  <si>
    <t>[Nút Áp dụng] Kiểm tra kết hợp Search + Filter</t>
  </si>
  <si>
    <t>Đã nhập search "N10" và có kết quả.</t>
  </si>
  <si>
    <t>1. Mở Bottom Sheet [Lọc], chọn KCN = "KCN A" + TT = "Còn trống"
2. Nhấn [Áp dụng]
3. Kiểm tra</t>
  </si>
  <si>
    <t>3. Danh sách thỏa cả keyword "N10" VÀ filter (KCN A + Còn trống).</t>
  </si>
  <si>
    <t>TC_139</t>
  </si>
  <si>
    <t>[Nút Áp dụng] Kiểm tra filter không có kết quả</t>
  </si>
  <si>
    <t>1. Chọn combo filter không có lô đất nào thỏa
2. Nhấn [Áp dụng]
3. Kiểm tra</t>
  </si>
  <si>
    <t>3. Hiển thị "Không tìm thấy kết quả." căn giữa vùng nội dung (CMR-14).</t>
  </si>
  <si>
    <t>TC_140</t>
  </si>
  <si>
    <t>[Nút Nhập lại] Kiểm tra reset 5 trường về mặc định</t>
  </si>
  <si>
    <t>Đã chỉnh các tiêu chí trong Bottom Sheet.</t>
  </si>
  <si>
    <t>1. Nhấn nút [Nhập lại]
2. Kiểm tra 5 trường</t>
  </si>
  <si>
    <t>2. KCN = "Tất cả các KCN"; 2 dropdown tình trạng = "Tất cả"; 2 ô diện tích trống về placeholder.</t>
  </si>
  <si>
    <t>TC_141</t>
  </si>
  <si>
    <t>[Nút Nhập lại] Kiểm tra không đóng Bottom Sheet sau reset</t>
  </si>
  <si>
    <t>1. Nhấn nút [Nhập lại]
2. Kiểm tra trạng thái Bottom Sheet</t>
  </si>
  <si>
    <t>2. Bottom Sheet vẫn mở (không tự đóng). Người dùng có thể chỉnh tiếp hoặc tap [Áp dụng]/[X].</t>
  </si>
  <si>
    <t>TC_142</t>
  </si>
  <si>
    <t>[Bottom Sheet Lọc] Kiểm tra đóng không áp dụng — giữ nguyên filter cũ</t>
  </si>
  <si>
    <t>1. Mở Bottom Sheet [Lọc]
2. Chỉnh KCN sang "KCN B"
3. Đóng bằng nút [X] (không Áp dụng)
4. Kiểm tra danh sách và Bottom Sheet mở lại</t>
  </si>
  <si>
    <t>3. Danh sách vẫn là KCN A (filter cũ).
4. Mở lại Bottom Sheet → giá trị KCN vẫn là "KCN A" (chỉnh sửa không áp dụng bị bỏ).</t>
  </si>
  <si>
    <t>TC_143</t>
  </si>
  <si>
    <t>[Icon Lọc] Kiểm tra debounce double-tap — chỉ mở Bottom Sheet 1 lần</t>
  </si>
  <si>
    <t>1. Tap nhanh 2-3 lần vào icon [Lọc]
2. Kiểm tra số Bottom Sheet mở</t>
  </si>
  <si>
    <t>2. App chỉ mở 1 Bottom Sheet, không stack/nhảy 2 lần.</t>
  </si>
  <si>
    <t>TC_144</t>
  </si>
  <si>
    <t>[Bộ lọc tìm kiếm] Kiểm tra hiển thị dữ liệu tối đa (maxlength)</t>
  </si>
  <si>
    <t>Đã vào màn hình Bộ lọc tìm kiếm.</t>
  </si>
  <si>
    <t>TC_145</t>
  </si>
  <si>
    <t>[Bộ lọc tìm kiếm] Kiểm tra khôi phục/phóng to/thu nhỏ ứng dụng</t>
  </si>
  <si>
    <t>TC_146</t>
  </si>
  <si>
    <t>[Bộ lọc tìm kiếm] Kiểm tra tính nhất quán của các thông báo</t>
  </si>
  <si>
    <t>TC_147</t>
  </si>
  <si>
    <t>[Bộ lọc tìm kiếm] Kiểm tra hiển thị khi thiết bị ở chế độ dọc (thiết bị xoay theo chiều đứng)</t>
  </si>
  <si>
    <t>TC_148</t>
  </si>
  <si>
    <t>[Bộ lọc tìm kiếm] Kiểm tra hiển thị khi thiết bị ở chế độ ngang (thiết bị xoay theo chiều ngang)</t>
  </si>
  <si>
    <t>TC_149</t>
  </si>
  <si>
    <t>[Bộ lọc tìm kiếm] Kiểm tra hiển thị khi chuyển đổi giữa chế độ dọc và ngang</t>
  </si>
  <si>
    <t>TC_150</t>
  </si>
  <si>
    <t>[Bộ lọc tìm kiếm] Kiểm tra hiển thị khi thiết bị sử dụng cỡ chữ lớn nhất</t>
  </si>
  <si>
    <t>TC_151</t>
  </si>
  <si>
    <t>[Bộ lọc tìm kiếm] Kiểm tra hiển thị khi thiết bị sử dụng cỡ chữ nhỏ nhất</t>
  </si>
  <si>
    <t>TC_152</t>
  </si>
  <si>
    <t>[Bộ lọc tìm kiếm] Xác nhận hiển thị của ứng dụng khi người dùng chạm vào nút [Quay lại] trên thiết bị Android</t>
  </si>
  <si>
    <t>TC_153</t>
  </si>
  <si>
    <t>[Bộ lọc tìm kiếm] Xác nhận hiển thị của ứng dụng khi người dùng vuốt từ trái sang phải trên thiết bị iOS</t>
  </si>
  <si>
    <t>TC_154</t>
  </si>
  <si>
    <t>[Bộ lọc tìm kiếm] Xác nhận hiển thị của ứng dụng khi người dùng tắt và mở lại ứng dụng</t>
  </si>
  <si>
    <t>TC_155</t>
  </si>
  <si>
    <t>[Bộ lọc tìm kiếm] Kiểm tra chế độ đa nhiệm (multitasking)</t>
  </si>
  <si>
    <t>TC_156</t>
  </si>
  <si>
    <t>[Bộ lọc tìm kiếm] Xác nhận hiển thị của ứng dụng khi người dùng khóa và mở khóa màn hình thiết bị</t>
  </si>
  <si>
    <t>TC_157</t>
  </si>
  <si>
    <t>[Bộ lọc tìm kiếm] Kiểm tra hành động kéo xuống để làm mới (pull-to-refresh)</t>
  </si>
  <si>
    <t>TC_158</t>
  </si>
  <si>
    <t>[Bộ lọc tìm kiếm] Kiểm tra hành động cuộn xuống để tải thêm (scroll-down-to-load-more)</t>
  </si>
  <si>
    <t>TC_159</t>
  </si>
  <si>
    <t>[Bộ lọc tìm kiếm] Kiểm tra phản hồi của ứng dụng khi thiết bị nhận được thông báo từ ứng dụng khác</t>
  </si>
  <si>
    <t>3. Màn hình Chi tiết lô đất</t>
  </si>
  <si>
    <t>TC_160</t>
  </si>
  <si>
    <t>[Màn hình Chi tiết lô đất] Kiểm tra UI/UX tổng thể khi load đầy đủ dữ liệu</t>
  </si>
  <si>
    <t>Đã tap 1 Card trên màn [Danh sách quỹ đất] và dữ liệu chi tiết đầy đủ.</t>
  </si>
  <si>
    <t>1. Chờ màn [Chi tiết lô đất] load xong
2. Kiểm tra layout tổng thể</t>
  </si>
  <si>
    <t>TC_161</t>
  </si>
  <si>
    <t>[Header Chi tiết] Kiểm tra hiển thị Header màn hình Chi tiết lô đất</t>
  </si>
  <si>
    <t>Đã tap Card lô đất từ [Danh sách quỹ đất], dữ liệu load xong.</t>
  </si>
  <si>
    <t>1.
- Hiển thị nút Quay lại (←) ở góc trái header
- Hiển thị tiêu đề "Chi tiết lô đất" căn giữa
- Không có nút hành động khác trên header</t>
  </si>
  <si>
    <t>UC40 Section 2.2.1</t>
  </si>
  <si>
    <t>TC_162</t>
  </si>
  <si>
    <t>[Section Thông tin quỹ đất] Kiểm tra hiển thị section Thông tin quỹ đất</t>
  </si>
  <si>
    <t>Đã vào màn [Chi tiết lô đất] với dữ liệu đầy đủ.</t>
  </si>
  <si>
    <t>1. Kiểm tra hiển thị section Thông tin quỹ đất</t>
  </si>
  <si>
    <t>UC40 Section 2.2.2</t>
  </si>
  <si>
    <t>TC_163</t>
  </si>
  <si>
    <t>[Section Hạ tầng &amp; Hiện trạng] Kiểm tra hiển thị section Hạ tầng</t>
  </si>
  <si>
    <t>1. Kiểm tra hiển thị section Hạ tầng &amp; Hiện trạng</t>
  </si>
  <si>
    <t>1. Hiển thị đủ 4 dropdown read-only theo thứ tự:
- Hiện trạng đường
- Hiện trạng điện
- Hiện trạng nước
- Hiện trạng hạ tầng
Mỗi dropdown hiển thị 1 trong 3 giá trị (Đã có / Chưa có / Đang xây dựng) hoặc "-" nếu null. Tất cả ở trạng thái disabled.</t>
  </si>
  <si>
    <t>UC40 Section 2.2.3</t>
  </si>
  <si>
    <t>TC_164</t>
  </si>
  <si>
    <t>[Badge Tình trạng quỹ đất chi tiết] Kiểm tra hiển thị badge trên màn Chi tiết</t>
  </si>
  <si>
    <t>Đã vào màn [Chi tiết lô đất] có Tình trạng quỹ đất = "Còn trống" hoặc "Đã cho thuê".</t>
  </si>
  <si>
    <t>1. Kiểm tra badge Tình trạng quỹ đất trên màn Chi tiết</t>
  </si>
  <si>
    <t>1.
- "Còn trống": badge nền xanh lá nhạt, chữ xanh lá
- "Đã cho thuê": badge nền đỏ nhạt, chữ đỏ
- Badge read-only, không tap được</t>
  </si>
  <si>
    <t>UC40 Section 2.2.4.1</t>
  </si>
  <si>
    <t>TC_165</t>
  </si>
  <si>
    <t>[Badge Tình trạng công bố chi tiết] Kiểm tra hiển thị badge trên màn Chi tiết</t>
  </si>
  <si>
    <t>Đã vào màn [Chi tiết lô đất] có Tình trạng công bố = "Đã công bố" hoặc "Chưa công bố".</t>
  </si>
  <si>
    <t>1. Kiểm tra badge Tình trạng công bố trên màn Chi tiết</t>
  </si>
  <si>
    <t>1.
- "Đã công bố": badge nền trắng, viền xanh lá, chữ xanh lá
- "Chưa công bố": badge nền xám nhạt, chữ xám đậm
- Badge read-only, không tap được</t>
  </si>
  <si>
    <t>UC40 Section 2.2.4.2</t>
  </si>
  <si>
    <t>TC_166</t>
  </si>
  <si>
    <t>[Section Thông tin chi tiết] Kiểm tra hiển thị section Thông tin chi tiết</t>
  </si>
  <si>
    <t>1. Kiểm tra hiển thị section Thông tin chi tiết</t>
  </si>
  <si>
    <t>1. Hiển thị trường Loại đất với label + value. Nếu null → "-". Nếu dài → wrap text, không truncate.</t>
  </si>
  <si>
    <t>UC40 Section 2.2.5</t>
  </si>
  <si>
    <t>TC_167</t>
  </si>
  <si>
    <t>[Section File đính kèm] Kiểm tra hiển thị layout section File đính kèm</t>
  </si>
  <si>
    <t>Đã vào màn [Chi tiết lô đất] có ≥ 2 file đính kèm.</t>
  </si>
  <si>
    <t>1. Cuộn đến section File đính kèm
2. Kiểm tra layout danh sách file</t>
  </si>
  <si>
    <t>2. Mỗi file hiển thị: icon loại file + tên file. Danh sách sắp xếp theo ngày upload giảm dần. Scroll vertical nếu nhiều file. Không giới hạn số lượng.</t>
  </si>
  <si>
    <t>UC40 Section 2.2.6</t>
  </si>
  <si>
    <t>TC_168</t>
  </si>
  <si>
    <t>[Scroll toàn màn Chi tiết] Kiểm tra scroll vertical toàn bộ nội dung</t>
  </si>
  <si>
    <t>Đã vào màn [Chi tiết lô đất] có đầy đủ dữ liệu (nhiều section).</t>
  </si>
  <si>
    <t>1. Cuộn từ trên xuống dưới cùng
2. Cuộn ngược lại lên trên</t>
  </si>
  <si>
    <t>1. Toàn bộ nội dung (Thông tin quỹ đất → Hạ tầng → Trạng thái → Thông tin chi tiết → File đính kèm) scroll mượt, không bị cắt.
2. Header cố định (sticky), nội dung cuộn bên dưới.</t>
  </si>
  <si>
    <t>TC_169</t>
  </si>
  <si>
    <t>[Màn hình Chi tiết lô đất] Kiểm tra loading state toàn màn hình khi first-load</t>
  </si>
  <si>
    <t>Đã tap Card để vào [Chi tiết].</t>
  </si>
  <si>
    <t>1. Ngay khi chuyển màn, quan sát loading</t>
  </si>
  <si>
    <t>1. Hiển thị loading indicator toàn màn hình (full-screen loading overlay) trong khi chờ dữ liệu lần đầu.</t>
  </si>
  <si>
    <t>TC_170</t>
  </si>
  <si>
    <t>[Màn hình Chi tiết lô đất] Kiểm tra hiển thị "-" khi các trường null</t>
  </si>
  <si>
    <t>Lô đất có Vị trí, Thời hạn thuê, Loại đất = null.</t>
  </si>
  <si>
    <t>1. Vào màn [Chi tiết lô đất]
2. Kiểm tra các trường null</t>
  </si>
  <si>
    <t>2. Các trường null hiển thị "-" thay cho giá trị.</t>
  </si>
  <si>
    <t>TC_171</t>
  </si>
  <si>
    <t>[Badge trạng thái chi tiết] Kiểm tra ẩn Badge khi null</t>
  </si>
  <si>
    <t>Lô đất có Tình trạng quỹ đất hoặc Tình trạng công bố = null.</t>
  </si>
  <si>
    <t>1. Vào màn [Chi tiết lô đất]
2. Quan sát Badge trong section Trạng thái</t>
  </si>
  <si>
    <t>2. Badge tương ứng với giá trị null KHÔNG hiển thị trên màn hình.</t>
  </si>
  <si>
    <t>TC_172</t>
  </si>
  <si>
    <t>[Màn hình Chi tiết lô đất] Kiểm tra text dài wrap (không truncate)</t>
  </si>
  <si>
    <t>Lô đất có tên KCN/Vị trí dài &gt; 40 ký tự.</t>
  </si>
  <si>
    <t>1. Vào màn [Chi tiết lô đất]
2. Quan sát trường có text dài</t>
  </si>
  <si>
    <t>2. Text xuống dòng (wrap text), không truncate, không có "..." (khác với Card list).</t>
  </si>
  <si>
    <t>TC_173</t>
  </si>
  <si>
    <t>[Diện tích chi tiết] Kiểm tra format hàng nghìn</t>
  </si>
  <si>
    <t>Lô đất có diện tích 50000 m².</t>
  </si>
  <si>
    <t>1. Vào màn [Chi tiết lô đất]
2. Quan sát trường Diện tích</t>
  </si>
  <si>
    <t>2. Hiển thị "50,000" theo format hàng nghìn (CMR-11).</t>
  </si>
  <si>
    <t>TC_174</t>
  </si>
  <si>
    <t>[Dropdown Hiện trạng] Kiểm tra 4 hiện trạng (đường/điện/nước/hạ tầng) ở trạng thái disabled</t>
  </si>
  <si>
    <t>Đã vào màn [Chi tiết lô đất] có đủ 4 hiện trạng.</t>
  </si>
  <si>
    <t>1. Quan sát 4 dropdown Hiện trạng đường/điện/nước/hạ tầng
2. Thử tap vào 1 dropdown</t>
  </si>
  <si>
    <t>1. Dropdown ở trạng thái read-only/disabled, hiển thị giá trị nhưng không mở danh sách option.
2. Tap không có phản hồi.</t>
  </si>
  <si>
    <t>TC_175</t>
  </si>
  <si>
    <t>[Card lô đất] Kiểm tra tap Card → load màn [Chi tiết] đầy đủ dữ liệu</t>
  </si>
  <si>
    <t>Đã ở màn [Danh sách quỹ đất].</t>
  </si>
  <si>
    <t>1. Tap Card có dữ liệu đầy đủ
2. Chờ load xong
3. Kiểm tra các trường chi tiết</t>
  </si>
  <si>
    <t>3. Hiển thị đủ: KCN ([Mã]-[Tên]), Tên lô đất, Vị trí, Diện tích (CMR-11), Thời hạn thuê, 4 hiện trạng hạ tầng, 2 badge trạng thái, Loại đất, danh sách file đính kèm.</t>
  </si>
  <si>
    <t>Section 3.1/3.2</t>
  </si>
  <si>
    <t>TC_176</t>
  </si>
  <si>
    <t>[Hiện trạng đường] Kiểm tra giá trị "Đã có"</t>
  </si>
  <si>
    <t>Lô đất có Hiện trạng đường = "Đã có".</t>
  </si>
  <si>
    <t>1. Vào [Chi tiết lô đất]
2. Quan sát dropdown Hiện trạng đường</t>
  </si>
  <si>
    <t>2. Dropdown disabled, hiển thị "Đã có".</t>
  </si>
  <si>
    <t>TC_177</t>
  </si>
  <si>
    <t>[Hiện trạng đường] Kiểm tra giá trị "Chưa có"</t>
  </si>
  <si>
    <t>Lô đất có Hiện trạng đường = "Chưa có".</t>
  </si>
  <si>
    <t>2. Dropdown disabled, hiển thị "Chưa có".</t>
  </si>
  <si>
    <t>TC_178</t>
  </si>
  <si>
    <t>[Hiện trạng đường] Kiểm tra giá trị "Đang xây dựng"</t>
  </si>
  <si>
    <t>Lô đất có Hiện trạng đường = "Đang xây dựng".</t>
  </si>
  <si>
    <t>2. Dropdown disabled, hiển thị "Đang xây dựng".</t>
  </si>
  <si>
    <t>TC_179</t>
  </si>
  <si>
    <t>[Hiện trạng đường] Kiểm tra giá trị null hiển thị "-"</t>
  </si>
  <si>
    <t>Lô đất có Hiện trạng đường = null.</t>
  </si>
  <si>
    <t>2. Dropdown hiển thị "-" thay cho giá trị.</t>
  </si>
  <si>
    <t>TC_180</t>
  </si>
  <si>
    <t>[Hiện trạng điện/nước/hạ tầng] Kiểm tra hành vi tương tự hiện trạng đường</t>
  </si>
  <si>
    <t>Lô đất có đầy đủ 3 giá trị hiện trạng cho điện, nước, hạ tầng.</t>
  </si>
  <si>
    <t>1. Vào [Chi tiết lô đất]
2. Quan sát 3 dropdown Hiện trạng điện/nước/hạ tầng với các giá trị Đã có/Chưa có/Đang xây dựng/null</t>
  </si>
  <si>
    <t>2. Mỗi dropdown hiển thị đúng 1 trong 3 giá trị (Đã có/Chưa có/Đang xây dựng) hoặc "-" nếu null. Tất cả disabled.</t>
  </si>
  <si>
    <t>TC_181</t>
  </si>
  <si>
    <t>[Thời hạn thuê] Kiểm tra hiển thị text tự do "2 năm"</t>
  </si>
  <si>
    <t>Lô đất có Thời hạn thuê = "2 năm".</t>
  </si>
  <si>
    <t>1. Vào [Chi tiết lô đất]
2. Quan sát trường Thời hạn thuê</t>
  </si>
  <si>
    <t>2. Thời hạn thuê được hiển thị đúng như giá trị nhập vào (ví dụ "2 năm" hiển thị "2 năm").</t>
  </si>
  <si>
    <t>Q14 free text</t>
  </si>
  <si>
    <t>TC_182</t>
  </si>
  <si>
    <t>[Thời hạn thuê] Kiểm tra hiển thị text "0"</t>
  </si>
  <si>
    <t>Lô đất có Thời hạn thuê = "0".</t>
  </si>
  <si>
    <t>2. Hiển thị nguyên bản "0" (không convert).</t>
  </si>
  <si>
    <t>Q14</t>
  </si>
  <si>
    <t>TC_183</t>
  </si>
  <si>
    <t>[Thời hạn thuê] Kiểm tra hiển thị text "Vĩnh viễn"</t>
  </si>
  <si>
    <t>Lô đất có Thời hạn thuê = "Vĩnh viễn".</t>
  </si>
  <si>
    <t>2. Hiển thị nguyên bản "Vĩnh viễn".</t>
  </si>
  <si>
    <t>TC_184</t>
  </si>
  <si>
    <t>[Thời hạn thuê] Kiểm tra hiển thị text "không xác định"</t>
  </si>
  <si>
    <t>Lô đất có Thời hạn thuê = "không xác định".</t>
  </si>
  <si>
    <t>2. Hiển thị nguyên bản "không xác định".</t>
  </si>
  <si>
    <t>TC_185</t>
  </si>
  <si>
    <t>[Thời hạn thuê] Kiểm tra hiển thị "-" khi null</t>
  </si>
  <si>
    <t>Lô đất có Thời hạn thuê = null.</t>
  </si>
  <si>
    <t>2. Hiển thị "-".</t>
  </si>
  <si>
    <t>TC_186</t>
  </si>
  <si>
    <t>[Màn hình Chi tiết lô đất] Kiểm tra toàn bộ trường read-only</t>
  </si>
  <si>
    <t>Đã vào [Chi tiết lô đất].</t>
  </si>
  <si>
    <t>1. Tap thử vào các trường label, dropdown, badge
2. Kiểm tra phản hồi</t>
  </si>
  <si>
    <t>2. Không có trường nào phản hồi khi tap. Không có nút Edit/Save/Delete.</t>
  </si>
  <si>
    <t>Section 4</t>
  </si>
  <si>
    <t>TC_187</t>
  </si>
  <si>
    <t>[Màn hình Chi tiết lô đất] Kiểm tra hiển thị lỗi timeout 10 giây</t>
  </si>
  <si>
    <t>Giả lập server phản hồi chậm &gt; 10 giây.</t>
  </si>
  <si>
    <t>1. Tap Card từ [Danh sách]
2. Chờ &gt; 10 giây
3. Kiểm tra hiển thị</t>
  </si>
  <si>
    <t>3. Hiển thị "Yêu cầu đã hết thời gian chờ. Vui lòng thử lại." kèm nút [Thử lại].</t>
  </si>
  <si>
    <t>TC_188</t>
  </si>
  <si>
    <t>[Màn hình Chi tiết lô đất] Kiểm tra hiển thị lỗi 404 lô đất không tồn tại</t>
  </si>
  <si>
    <t>Giả lập API trả 404 (lô đất đã bị xóa).</t>
  </si>
  <si>
    <t>1. Tap Card từ [Danh sách]
2. Kiểm tra hiển thị</t>
  </si>
  <si>
    <t>2. Hiển thị thông báo "Lô đất không tồn tại hoặc đã bị xóa.".</t>
  </si>
  <si>
    <t>TC_189</t>
  </si>
  <si>
    <t>[Nút Quay lại] Kiểm tra quay lại từ [Chi tiết] về [Danh sách]</t>
  </si>
  <si>
    <t>Đã vào [Chi tiết lô đất] từ [Danh sách].</t>
  </si>
  <si>
    <t>1. Nhấn nút [Quay lại] ←
2. Kiểm tra màn hình</t>
  </si>
  <si>
    <t>2. App quay về màn [Danh sách quỹ đất] với state (keyword, filter, vị trí cuộn) được giữ nguyên.</t>
  </si>
  <si>
    <t>TC_190</t>
  </si>
  <si>
    <t>[Nút Quay lại] Kiểm tra debounce double-tap — chỉ pop 1 lần</t>
  </si>
  <si>
    <t>1. Tap nhanh 2 lần vào nút [Quay lại] ←
2. Kiểm tra màn hình</t>
  </si>
  <si>
    <t>2. App chỉ pop 1 màn (về [Danh sách]), không pop luôn qua Home.</t>
  </si>
  <si>
    <t>TC_191</t>
  </si>
  <si>
    <t>[File đính kèm] Kiểm tra hiển thị danh sách (icon + tên)</t>
  </si>
  <si>
    <t>Lô đất có ≥ 1 file đính kèm.</t>
  </si>
  <si>
    <t>1. Vào [Chi tiết lô đất]
2. Cuộn xuống section File đính kèm
3. Kiểm tra hiển thị</t>
  </si>
  <si>
    <t>3. Danh sách file hiển thị icon (tương ứng loại file) + tên file. Không giới hạn số lượng.</t>
  </si>
  <si>
    <t>Section 2.2.6</t>
  </si>
  <si>
    <t>TC_192</t>
  </si>
  <si>
    <t>[File đính kèm] Kiểm tra tên file dài truncate với "..."</t>
  </si>
  <si>
    <t>Có file với tên dài &gt; giới hạn hiển thị.</t>
  </si>
  <si>
    <t>1. Cuộn đến section File đính kèm
2. Quan sát file có tên dài</t>
  </si>
  <si>
    <t>2. Tên file truncate cuối dòng với "...".</t>
  </si>
  <si>
    <t>TC_193</t>
  </si>
  <si>
    <t>[File đính kèm] Kiểm tra empty state khi không có file</t>
  </si>
  <si>
    <t>Lô đất không có file đính kèm.</t>
  </si>
  <si>
    <t>1. Vào [Chi tiết lô đất]
2. Cuộn đến section File đính kèm
3. Kiểm tra</t>
  </si>
  <si>
    <t>3. Hiển thị empty state với thông báo "Không có dữ liệu." (CMR-14).</t>
  </si>
  <si>
    <t>TC_194</t>
  </si>
  <si>
    <t>[File đính kèm] Kiểm tra sắp xếp theo ngày upload giảm dần</t>
  </si>
  <si>
    <t>Có 5 file upload vào các ngày khác nhau (mới nhất → cũ nhất).</t>
  </si>
  <si>
    <t>1. Vào [Chi tiết lô đất]
2. Quan sát thứ tự danh sách file</t>
  </si>
  <si>
    <t>2. File upload mới nhất ở trên cùng, cũ nhất ở dưới cùng (sắp xếp giảm dần theo ngày upload).</t>
  </si>
  <si>
    <t>Q15</t>
  </si>
  <si>
    <t>TC_195</t>
  </si>
  <si>
    <t>[File đính kèm] Kiểm tra cùng ngày upload sắp xếp theo thứ tự tạo</t>
  </si>
  <si>
    <t>Có nhiều file upload cùng ngày.</t>
  </si>
  <si>
    <t>1. Quan sát thứ tự các file cùng ngày</t>
  </si>
  <si>
    <t>1. Các file cùng ngày sắp xếp theo thứ tự tạo (order ID từ BE).</t>
  </si>
  <si>
    <t>TC_196</t>
  </si>
  <si>
    <t>[File đính kèm PDF] Kiểm tra tap → mở trên trình duyệt</t>
  </si>
  <si>
    <t>Lô đất có file .pdf.</t>
  </si>
  <si>
    <t>1. Tap vào file PDF
2. Kiểm tra hành vi</t>
  </si>
  <si>
    <t>2. App mở file PDF trực tiếp trên trình duyệt mặc định của thiết bị.</t>
  </si>
  <si>
    <t>CMR-08</t>
  </si>
  <si>
    <t>TC_197</t>
  </si>
  <si>
    <t>[File đính kèm JPG/PNG] Kiểm tra tap → mở trên trình duyệt</t>
  </si>
  <si>
    <t>Lô đất có file .jpg/.png.</t>
  </si>
  <si>
    <t>1. Tap vào file hình ảnh
2. Kiểm tra</t>
  </si>
  <si>
    <t>2. App mở file trực tiếp trên trình duyệt.</t>
  </si>
  <si>
    <t>TC_198</t>
  </si>
  <si>
    <t>[File đính kèm MP4/AVI/MOV] Kiểm tra tap → mở trên trình duyệt</t>
  </si>
  <si>
    <t>Lô đất có file .mp4/.avi/.mov.</t>
  </si>
  <si>
    <t>1. Tap vào file video
2. Kiểm tra</t>
  </si>
  <si>
    <t>2. App mở file video trực tiếp trên trình duyệt.</t>
  </si>
  <si>
    <t>TC_199</t>
  </si>
  <si>
    <t>[File đính kèm DOC/XLSX/ZIP] Kiểm tra tap → tự động tải xuống</t>
  </si>
  <si>
    <t>Lô đất có file .doc/.docx/.xls/.xlsx/.zip.</t>
  </si>
  <si>
    <t>1. Tap vào file
2. Kiểm tra</t>
  </si>
  <si>
    <t>2. App tự động tải file xuống thiết bị. Hiển thị thông báo tải xuống thành công (hoặc progress).</t>
  </si>
  <si>
    <t>TC_200</t>
  </si>
  <si>
    <t>[File đính kèm không hỗ trợ] Kiểm tra tap file định dạng lạ</t>
  </si>
  <si>
    <t>Lô đất có file định dạng không hỗ trợ (vd .bin/.xyz).</t>
  </si>
  <si>
    <t>2. Hiển thị thông báo "Định dạng không hỗ trợ. Vui lòng tải xuống.".</t>
  </si>
  <si>
    <t>TC_201</t>
  </si>
  <si>
    <t>[Đa ngôn ngữ Chi tiết] Kiểm tra switch ngôn ngữ — text cứng đổi</t>
  </si>
  <si>
    <t>Đã vào [Chi tiết lô đất] với tiếng Việt.</t>
  </si>
  <si>
    <t>1. Switch ngôn ngữ sang English
2. Quay lại [Chi tiết lô đất]
3. Kiểm tra header, label</t>
  </si>
  <si>
    <t>3. Header "Chi tiết lô đất", các label ("Diện tích", "Thời hạn thuê", "File đính kèm", etc.) đổi theo ngôn ngữ đã chọn.</t>
  </si>
  <si>
    <t>TC_202</t>
  </si>
  <si>
    <t>[Đa ngôn ngữ Chi tiết] Kiểm tra dữ liệu API nguyên bản khi switch ngôn ngữ</t>
  </si>
  <si>
    <t>1. Switch ngôn ngữ sang English
2. Quay lại [Chi tiết lô đất]
3. Kiểm tra dữ liệu</t>
  </si>
  <si>
    <t>3. Tên KCN, tên lô đất, vị trí, loại đất (dữ liệu API) KHÔNG đổi theo ngôn ngữ, giữ nguyên bản tiếng Việt.</t>
  </si>
  <si>
    <t>TC_203</t>
  </si>
  <si>
    <t>[Force close Chi tiết] Kiểm tra force close tại [Chi tiết] → Trang chủ</t>
  </si>
  <si>
    <t>1. Force close app
2. Mở lại app
3. Kiểm tra màn hình mở</t>
  </si>
  <si>
    <t>3. App quay về [Trang chủ] (không restore [Chi tiết]). Session vẫn hợp lệ.</t>
  </si>
  <si>
    <t>TC_204</t>
  </si>
  <si>
    <t>[Uninstall Chi tiết] Kiểm tra uninstall yêu cầu đăng nhập lại</t>
  </si>
  <si>
    <t>1. Uninstall app
2. Cài lại
3. Mở app
4. Kiểm tra</t>
  </si>
  <si>
    <t>4. App yêu cầu đăng nhập lại.</t>
  </si>
  <si>
    <t>TC_205</t>
  </si>
  <si>
    <t>[Màn hình Chi tiết lô đất] Kiểm tra hiển thị dữ liệu tối đa (maxlength)</t>
  </si>
  <si>
    <t>Đã vào màn hình Màn hình Chi tiết lô đất.</t>
  </si>
  <si>
    <t>TC_206</t>
  </si>
  <si>
    <t>[Màn hình Chi tiết lô đất] Kiểm tra khôi phục/phóng to/thu nhỏ ứng dụng</t>
  </si>
  <si>
    <t>TC_207</t>
  </si>
  <si>
    <t>[Màn hình Chi tiết lô đất] Kiểm tra tính nhất quán của các thông báo</t>
  </si>
  <si>
    <t>TC_208</t>
  </si>
  <si>
    <t>[Màn hình Chi tiết lô đất] Kiểm tra hiển thị khi thiết bị ở chế độ dọc (thiết bị xoay theo chiều đứng)</t>
  </si>
  <si>
    <t>TC_209</t>
  </si>
  <si>
    <t>[Màn hình Chi tiết lô đất] Kiểm tra hiển thị khi thiết bị ở chế độ ngang (thiết bị xoay theo chiều ngang)</t>
  </si>
  <si>
    <t>TC_210</t>
  </si>
  <si>
    <t>[Màn hình Chi tiết lô đất] Kiểm tra hiển thị khi chuyển đổi giữa chế độ dọc và ngang</t>
  </si>
  <si>
    <t>TC_211</t>
  </si>
  <si>
    <t>[Màn hình Chi tiết lô đất] Kiểm tra hiển thị khi thiết bị sử dụng cỡ chữ lớn nhất</t>
  </si>
  <si>
    <t>TC_212</t>
  </si>
  <si>
    <t>[Màn hình Chi tiết lô đất] Kiểm tra hiển thị khi thiết bị sử dụng cỡ chữ nhỏ nhất</t>
  </si>
  <si>
    <t>TC_213</t>
  </si>
  <si>
    <t>[Màn hình Chi tiết lô đất] Xác nhận hiển thị của ứng dụng khi người dùng chạm vào nút [Quay lại] trên thiết bị Android</t>
  </si>
  <si>
    <t>TC_214</t>
  </si>
  <si>
    <t>[Màn hình Chi tiết lô đất] Xác nhận hiển thị của ứng dụng khi người dùng vuốt từ trái sang phải trên thiết bị iOS</t>
  </si>
  <si>
    <t>TC_215</t>
  </si>
  <si>
    <t>[Màn hình Chi tiết lô đất] Xác nhận hiển thị của ứng dụng khi người dùng tắt và mở lại ứng dụng</t>
  </si>
  <si>
    <t>TC_216</t>
  </si>
  <si>
    <t>[Màn hình Chi tiết lô đất] Kiểm tra chế độ đa nhiệm (multitasking)</t>
  </si>
  <si>
    <t>TC_217</t>
  </si>
  <si>
    <t>[Màn hình Chi tiết lô đất] Xác nhận hiển thị của ứng dụng khi người dùng khóa và mở khóa màn hình thiết bị</t>
  </si>
  <si>
    <t>TC_218</t>
  </si>
  <si>
    <t>[Màn hình Chi tiết lô đất] Kiểm tra hành động kéo xuống để làm mới (pull-to-refresh)</t>
  </si>
  <si>
    <t>TC_219</t>
  </si>
  <si>
    <t>[Màn hình Chi tiết lô đất] Kiểm tra hành động cuộn xuống để tải thêm (scroll-down-to-load-more)</t>
  </si>
  <si>
    <t>TC_220</t>
  </si>
  <si>
    <t>[Màn hình Chi tiết lô đất] Kiểm tra phản hồi của ứng dụng khi thiết bị nhận được thông báo từ ứng dụng khác</t>
  </si>
  <si>
    <t>Cổng Một Cửa Đầu Tư Quốc Gia - Ứng dụng di động</t>
  </si>
  <si>
    <t>Mobile App</t>
  </si>
  <si>
    <t>Nga.tran3</t>
  </si>
  <si>
    <t>3. 
- Header: icon ← (nút Quay lại) ở góc trái, tiêu đề "Quản lý quỹ đất" căn giữa.
- Ô tìm kiếm có placeholder "Tìm kiếm tên lô đất...".
- Icon [Lọc] hiển thị bên phải ô tìm kiếm.
- Danh sách Card lô đất hiển thị bên dưới, sắp xếp A-Z tên lô đất.
- Layout, màu sắc, font chữ giống Design (Tham khảo ảnh 1 ở sheet "WFDesign").</t>
  </si>
  <si>
    <t>1.
- Icon filter hiển thị rõ ràng bên phải ô tìm kiếm
- KHÔNG có indicator (dấu chấm/badge) khi chưa có filter active
- Icon có thể tap được (Enabled)</t>
  </si>
  <si>
    <r>
      <rPr>
        <b/>
        <sz val="11"/>
        <color rgb="FF000000"/>
        <rFont val="Calibri"/>
        <family val="2"/>
      </rPr>
      <t>Tiền điều kiện: Màn hình hỗ trợ tính năng kéo để làm mới</t>
    </r>
    <r>
      <rPr>
        <sz val="11"/>
        <color rgb="FF000000"/>
        <rFont val="Calibri"/>
        <family val="2"/>
      </rPr>
      <t xml:space="preserve">
1. Người dùng ở màn hình hiện tại
2. Kéo xuống để làm mới
3. Kiểm tra hiển thị</t>
    </r>
  </si>
  <si>
    <r>
      <rPr>
        <b/>
        <sz val="11"/>
        <color rgb="FF000000"/>
        <rFont val="Calibri"/>
        <family val="2"/>
      </rPr>
      <t xml:space="preserve">Tiền điều kiện: Màn hình hỗ trợ tính năng cuộn xuống để tải </t>
    </r>
    <r>
      <rPr>
        <sz val="11"/>
        <color rgb="FF000000"/>
        <rFont val="Calibri"/>
        <family val="2"/>
      </rPr>
      <t>thêm
1. Người dùng cuộn xuống cuối danh sách
2. Kiểm tra hiển thị</t>
    </r>
  </si>
  <si>
    <r>
      <rPr>
        <b/>
        <sz val="11"/>
        <color rgb="FF000000"/>
        <rFont val="Calibri"/>
        <family val="2"/>
      </rPr>
      <t>Tiền điều kiện: Ứng dụng khác được phép gửi thông báo</t>
    </r>
    <r>
      <rPr>
        <sz val="11"/>
        <color rgb="FF000000"/>
        <rFont val="Calibri"/>
        <family val="2"/>
      </rPr>
      <t xml:space="preserve">
1. Người dùng mở ứng dụng
2. Ứng dụng khác gửi thông báo
3. Kiểm tra hiển thị</t>
    </r>
  </si>
  <si>
    <t>2. Bottom Sheet mở từ dưới lên, hiển thị:
- 5 trường: Khu công nghiệp, Diện tích (Từ), Diện tích (Đến), Tình trạng quỹ đất, Tình trạng công bố.
- 2 nút: [Nhập lại] (secondary), [Áp dụng] (primary).
- Nút [X] đóng ở góc phải trên.
Layout, màu sắc, font giống Design (Tham khảo Ảnh 2 ở sheet "WFDesign").</t>
  </si>
  <si>
    <t>1.
- Label "Khu công nghiệp" hiển thị phía trên dropdown
- Giá trị mặc định "Tất cả các KCN"
- Icon mũi tên dropdown bên phải
- Dropdown ở trạng thái Enabled (có thể tap)</t>
  </si>
  <si>
    <t>1.
- Label "Tình trạng quỹ đất" hiển thị phía trên
- Giá trị mặc định "Tất cả"
- Icon dropdown bên phải
- Dropdown Enabled</t>
  </si>
  <si>
    <t>1.
- Label "Tình trạng công bố" hiển thị phía trên
- Giá trị mặc định "Tất cả"
- Icon dropdown bên phải
- Dropdown Enabled</t>
  </si>
  <si>
    <t>1. Hiển thị placeholder "Từ" màu xám nhạt.</t>
  </si>
  <si>
    <t>1. Hiển thị placeholder "Đến" màu xám nhạt.</t>
  </si>
  <si>
    <t>2. KCN = "Tất cả các KCN"; Tình trạng quỹ đất = "Tất cả"; Tình trạng công bố = "Tất cả"; Diện tích (Từ) trống với placeholder "Từ"; Diện tích (Đến) trống với placeholder "Đến".</t>
  </si>
  <si>
    <t>2. Hiển thị:
- Header: nút [Quay lại] ← trái, tiêu đề "Chi tiết lô đất" giữa.
- 6 section: Thông tin quỹ đất, Hạ tầng &amp; Hiện trạng, Trạng thái (2 badge), Thông tin chi tiết, File đính kèm.
- Layout, màu sắc, font giống Design (Tham khảo Ảnh 3 ở sheet "WFDesign").</t>
  </si>
  <si>
    <t xml:space="preserve">1. Hiển thị đủ 5 trường theo thứ tự:
- Khu công nghiệp: [Mã KCN] - [Tên KCN]
- Tên lô đất: in đậm (bold)
- Vị trí
- Diện tích: format hàng nghìn (CMR-11)
- Thời hạn thuê
</t>
  </si>
  <si>
    <r>
      <rPr>
        <b/>
        <sz val="11"/>
        <color rgb="FF000000"/>
        <rFont val="Calibri"/>
        <family val="2"/>
      </rPr>
      <t>Tiền điều kiện: Màn hình hỗ trợ tính năng cuộn xuống để tải thêm</t>
    </r>
    <r>
      <rPr>
        <sz val="11"/>
        <color rgb="FF000000"/>
        <rFont val="Calibri"/>
        <family val="2"/>
      </rPr>
      <t xml:space="preserve">
1. Người dùng cuộn xuống cuối danh sách
2. Kiểm tra hiển thị</t>
    </r>
  </si>
  <si>
    <t>Update</t>
  </si>
  <si>
    <t>2. Bộ lọc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</si>
</sst>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"/>
    <numFmt numFmtId="165" formatCode="[$-409]d\-mmm\-yy"/>
  </numFmts>
  <fonts count="26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2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0"/>
      <color theme="1"/>
      <name val="Times New Roman"/>
      <family val="1"/>
    </font>
    <font>
      <b/>
      <sz val="26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b/>
      <sz val="14"/>
      <color rgb="FFFFFFFF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imes New Roman"/>
    </font>
    <font>
      <b/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5"/>
  </cellStyleXfs>
  <cellXfs count="185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5" xfId="0" applyFont="1" applyFill="1"/>
    <xf numFmtId="0" fontId="1" fillId="2" borderId="4" xfId="0" applyFont="1" applyFill="1" applyBorder="1"/>
    <xf numFmtId="0" fontId="1" fillId="0" borderId="3" xfId="0" applyFont="1" applyBorder="1"/>
    <xf numFmtId="0" fontId="9" fillId="3" borderId="8" xfId="0" applyFont="1" applyFill="1" applyBorder="1" applyAlignment="1">
      <alignment horizontal="center" wrapText="1"/>
    </xf>
    <xf numFmtId="10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0" fontId="7" fillId="3" borderId="8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7" fillId="0" borderId="0" xfId="0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3" fontId="7" fillId="0" borderId="8" xfId="0" applyNumberFormat="1" applyFont="1" applyBorder="1" applyAlignment="1">
      <alignment horizontal="center" vertical="top" wrapText="1"/>
    </xf>
    <xf numFmtId="0" fontId="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4" fontId="14" fillId="6" borderId="17" xfId="0" applyNumberFormat="1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14" fontId="15" fillId="2" borderId="21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vertical="center" wrapText="1"/>
    </xf>
    <xf numFmtId="0" fontId="15" fillId="2" borderId="21" xfId="0" applyFont="1" applyFill="1" applyBorder="1" applyAlignment="1">
      <alignment horizontal="center" vertical="center"/>
    </xf>
    <xf numFmtId="14" fontId="16" fillId="0" borderId="0" xfId="0" applyNumberFormat="1" applyFont="1" applyBorder="1" applyAlignment="1">
      <alignment vertical="center"/>
    </xf>
    <xf numFmtId="0" fontId="1" fillId="7" borderId="2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left" wrapText="1"/>
    </xf>
    <xf numFmtId="0" fontId="11" fillId="0" borderId="0" xfId="0" applyFont="1" applyBorder="1"/>
    <xf numFmtId="0" fontId="4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164" fontId="7" fillId="0" borderId="8" xfId="0" applyNumberFormat="1" applyFont="1" applyBorder="1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6" fillId="0" borderId="26" xfId="0" applyFont="1" applyBorder="1"/>
    <xf numFmtId="0" fontId="1" fillId="0" borderId="27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8" xfId="0" applyFont="1" applyBorder="1" applyAlignment="1">
      <alignment vertical="center" wrapText="1"/>
    </xf>
    <xf numFmtId="0" fontId="19" fillId="11" borderId="26" xfId="0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top" wrapText="1"/>
    </xf>
    <xf numFmtId="0" fontId="19" fillId="0" borderId="28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6" fillId="0" borderId="28" xfId="0" applyFont="1" applyBorder="1"/>
    <xf numFmtId="0" fontId="0" fillId="0" borderId="0" xfId="0" applyBorder="1"/>
    <xf numFmtId="0" fontId="19" fillId="0" borderId="25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8" fillId="0" borderId="32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6" fillId="0" borderId="32" xfId="0" applyFont="1" applyBorder="1"/>
    <xf numFmtId="0" fontId="16" fillId="0" borderId="24" xfId="0" applyFont="1" applyBorder="1"/>
    <xf numFmtId="0" fontId="20" fillId="0" borderId="24" xfId="0" applyFont="1" applyBorder="1" applyAlignment="1">
      <alignment horizontal="left" vertical="center" wrapText="1"/>
    </xf>
    <xf numFmtId="0" fontId="22" fillId="3" borderId="21" xfId="0" applyFont="1" applyFill="1" applyBorder="1" applyAlignment="1">
      <alignment horizontal="left" vertical="center"/>
    </xf>
    <xf numFmtId="0" fontId="24" fillId="4" borderId="26" xfId="0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5" fillId="9" borderId="26" xfId="0" applyFont="1" applyFill="1" applyBorder="1" applyAlignment="1">
      <alignment horizontal="left" vertical="center" wrapText="1"/>
    </xf>
    <xf numFmtId="0" fontId="25" fillId="10" borderId="26" xfId="0" applyFont="1" applyFill="1" applyBorder="1" applyAlignment="1">
      <alignment horizontal="left" vertical="center" wrapText="1"/>
    </xf>
    <xf numFmtId="0" fontId="23" fillId="0" borderId="0" xfId="0" applyFont="1" applyBorder="1"/>
    <xf numFmtId="0" fontId="25" fillId="11" borderId="26" xfId="0" applyFont="1" applyFill="1" applyBorder="1" applyAlignment="1">
      <alignment horizontal="left" vertical="center" wrapText="1"/>
    </xf>
    <xf numFmtId="0" fontId="16" fillId="0" borderId="27" xfId="0" applyFont="1" applyBorder="1"/>
    <xf numFmtId="0" fontId="19" fillId="0" borderId="42" xfId="0" applyFont="1" applyBorder="1" applyAlignment="1">
      <alignment vertical="center" wrapText="1"/>
    </xf>
    <xf numFmtId="0" fontId="19" fillId="0" borderId="37" xfId="0" applyFont="1" applyBorder="1" applyAlignment="1">
      <alignment horizontal="left" vertical="center" wrapText="1"/>
    </xf>
    <xf numFmtId="0" fontId="0" fillId="0" borderId="40" xfId="0" applyBorder="1" applyAlignment="1">
      <alignment vertical="center" wrapText="1"/>
    </xf>
    <xf numFmtId="0" fontId="16" fillId="0" borderId="39" xfId="0" applyFont="1" applyBorder="1"/>
    <xf numFmtId="0" fontId="16" fillId="0" borderId="22" xfId="0" applyFont="1" applyBorder="1"/>
    <xf numFmtId="0" fontId="19" fillId="0" borderId="33" xfId="0" applyFont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25" xfId="0" applyFont="1" applyBorder="1" applyAlignment="1">
      <alignment vertical="center" wrapText="1"/>
    </xf>
    <xf numFmtId="0" fontId="16" fillId="0" borderId="30" xfId="0" applyFont="1" applyBorder="1"/>
    <xf numFmtId="0" fontId="0" fillId="0" borderId="22" xfId="0" applyBorder="1" applyAlignment="1">
      <alignment vertical="center" wrapText="1"/>
    </xf>
    <xf numFmtId="0" fontId="19" fillId="0" borderId="30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2" fillId="3" borderId="5" xfId="0" applyFont="1" applyFill="1" applyAlignment="1">
      <alignment horizontal="center" wrapText="1"/>
    </xf>
    <xf numFmtId="0" fontId="0" fillId="0" borderId="0" xfId="0" applyBorder="1"/>
    <xf numFmtId="0" fontId="4" fillId="3" borderId="5" xfId="0" applyFont="1" applyFill="1" applyAlignment="1">
      <alignment wrapText="1"/>
    </xf>
    <xf numFmtId="0" fontId="5" fillId="2" borderId="5" xfId="0" applyFont="1" applyFill="1" applyAlignment="1">
      <alignment wrapText="1"/>
    </xf>
    <xf numFmtId="0" fontId="5" fillId="2" borderId="5" xfId="0" applyFont="1" applyFill="1" applyAlignment="1">
      <alignment horizontal="left" wrapText="1"/>
    </xf>
    <xf numFmtId="0" fontId="3" fillId="3" borderId="5" xfId="0" applyFont="1" applyFill="1" applyAlignment="1">
      <alignment horizontal="center" wrapText="1"/>
    </xf>
    <xf numFmtId="0" fontId="6" fillId="2" borderId="5" xfId="0" applyFont="1" applyFill="1"/>
    <xf numFmtId="165" fontId="1" fillId="2" borderId="5" xfId="0" applyNumberFormat="1" applyFont="1" applyFill="1"/>
    <xf numFmtId="165" fontId="5" fillId="2" borderId="5" xfId="0" applyNumberFormat="1" applyFont="1" applyFill="1" applyAlignment="1">
      <alignment horizontal="left" wrapText="1"/>
    </xf>
    <xf numFmtId="0" fontId="9" fillId="3" borderId="8" xfId="0" applyFont="1" applyFill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8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3" borderId="8" xfId="0" applyFont="1" applyFill="1" applyBorder="1" applyAlignment="1">
      <alignment vertical="top" wrapText="1"/>
    </xf>
    <xf numFmtId="0" fontId="9" fillId="3" borderId="8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9" fillId="4" borderId="8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vertical="top"/>
    </xf>
    <xf numFmtId="14" fontId="10" fillId="0" borderId="5" xfId="0" applyNumberFormat="1" applyFont="1" applyAlignment="1">
      <alignment horizontal="center" vertical="center"/>
    </xf>
    <xf numFmtId="14" fontId="13" fillId="5" borderId="25" xfId="0" applyNumberFormat="1" applyFont="1" applyFill="1" applyBorder="1" applyAlignment="1">
      <alignment horizontal="center" vertical="center"/>
    </xf>
    <xf numFmtId="0" fontId="0" fillId="0" borderId="16" xfId="0" applyBorder="1"/>
    <xf numFmtId="14" fontId="12" fillId="0" borderId="5" xfId="0" applyNumberFormat="1" applyFont="1" applyAlignment="1">
      <alignment horizontal="center" vertical="center"/>
    </xf>
    <xf numFmtId="0" fontId="25" fillId="11" borderId="31" xfId="0" applyFont="1" applyFill="1" applyBorder="1" applyAlignment="1">
      <alignment horizontal="left" vertical="center" wrapText="1"/>
    </xf>
    <xf numFmtId="0" fontId="25" fillId="11" borderId="5" xfId="0" applyFont="1" applyFill="1" applyBorder="1" applyAlignment="1">
      <alignment horizontal="left" vertical="center" wrapText="1"/>
    </xf>
    <xf numFmtId="0" fontId="25" fillId="11" borderId="36" xfId="0" applyFont="1" applyFill="1" applyBorder="1" applyAlignment="1">
      <alignment horizontal="left" vertical="center" wrapText="1"/>
    </xf>
    <xf numFmtId="0" fontId="25" fillId="9" borderId="37" xfId="0" applyFont="1" applyFill="1" applyBorder="1" applyAlignment="1">
      <alignment horizontal="left" vertical="center" wrapText="1"/>
    </xf>
    <xf numFmtId="0" fontId="25" fillId="9" borderId="38" xfId="0" applyFont="1" applyFill="1" applyBorder="1" applyAlignment="1">
      <alignment horizontal="left" vertical="center" wrapText="1"/>
    </xf>
    <xf numFmtId="0" fontId="25" fillId="9" borderId="39" xfId="0" applyFont="1" applyFill="1" applyBorder="1" applyAlignment="1">
      <alignment horizontal="left" vertical="center" wrapText="1"/>
    </xf>
    <xf numFmtId="0" fontId="25" fillId="10" borderId="17" xfId="0" applyFont="1" applyFill="1" applyBorder="1" applyAlignment="1">
      <alignment horizontal="left" vertical="center" wrapText="1"/>
    </xf>
    <xf numFmtId="0" fontId="25" fillId="10" borderId="29" xfId="0" applyFont="1" applyFill="1" applyBorder="1" applyAlignment="1">
      <alignment horizontal="left" vertical="center" wrapText="1"/>
    </xf>
    <xf numFmtId="0" fontId="25" fillId="10" borderId="30" xfId="0" applyFont="1" applyFill="1" applyBorder="1" applyAlignment="1">
      <alignment horizontal="left" vertical="center" wrapText="1"/>
    </xf>
    <xf numFmtId="0" fontId="25" fillId="10" borderId="31" xfId="0" applyFont="1" applyFill="1" applyBorder="1" applyAlignment="1">
      <alignment horizontal="left" vertical="center" wrapText="1"/>
    </xf>
    <xf numFmtId="0" fontId="25" fillId="10" borderId="5" xfId="0" applyFont="1" applyFill="1" applyBorder="1" applyAlignment="1">
      <alignment horizontal="left" vertical="center" wrapText="1"/>
    </xf>
    <xf numFmtId="0" fontId="25" fillId="10" borderId="36" xfId="0" applyFont="1" applyFill="1" applyBorder="1" applyAlignment="1">
      <alignment horizontal="left" vertical="center" wrapText="1"/>
    </xf>
    <xf numFmtId="0" fontId="25" fillId="10" borderId="37" xfId="0" applyFont="1" applyFill="1" applyBorder="1" applyAlignment="1">
      <alignment horizontal="left" vertical="center" wrapText="1"/>
    </xf>
    <xf numFmtId="0" fontId="25" fillId="10" borderId="38" xfId="0" applyFont="1" applyFill="1" applyBorder="1" applyAlignment="1">
      <alignment horizontal="left" vertical="center" wrapText="1"/>
    </xf>
    <xf numFmtId="0" fontId="25" fillId="10" borderId="39" xfId="0" applyFont="1" applyFill="1" applyBorder="1" applyAlignment="1">
      <alignment horizontal="left" vertical="center" wrapText="1"/>
    </xf>
    <xf numFmtId="0" fontId="25" fillId="11" borderId="17" xfId="0" applyFont="1" applyFill="1" applyBorder="1" applyAlignment="1">
      <alignment horizontal="left" vertical="center" wrapText="1"/>
    </xf>
    <xf numFmtId="0" fontId="25" fillId="11" borderId="29" xfId="0" applyFont="1" applyFill="1" applyBorder="1" applyAlignment="1">
      <alignment horizontal="left" vertical="center" wrapText="1"/>
    </xf>
    <xf numFmtId="0" fontId="25" fillId="11" borderId="30" xfId="0" applyFont="1" applyFill="1" applyBorder="1" applyAlignment="1">
      <alignment horizontal="left" vertical="center" wrapText="1"/>
    </xf>
    <xf numFmtId="0" fontId="19" fillId="11" borderId="31" xfId="0" applyFont="1" applyFill="1" applyBorder="1" applyAlignment="1">
      <alignment horizontal="left" vertical="center" wrapText="1"/>
    </xf>
    <xf numFmtId="0" fontId="19" fillId="11" borderId="5" xfId="0" applyFont="1" applyFill="1" applyBorder="1" applyAlignment="1">
      <alignment horizontal="left" vertical="center" wrapText="1"/>
    </xf>
    <xf numFmtId="0" fontId="19" fillId="11" borderId="36" xfId="0" applyFont="1" applyFill="1" applyBorder="1" applyAlignment="1">
      <alignment horizontal="left" vertical="center" wrapText="1"/>
    </xf>
    <xf numFmtId="0" fontId="25" fillId="10" borderId="35" xfId="0" applyFont="1" applyFill="1" applyBorder="1" applyAlignment="1">
      <alignment horizontal="left" vertical="center" wrapText="1"/>
    </xf>
    <xf numFmtId="0" fontId="25" fillId="11" borderId="31" xfId="0" applyFont="1" applyFill="1" applyBorder="1" applyAlignment="1">
      <alignment horizontal="left" vertical="center"/>
    </xf>
    <xf numFmtId="0" fontId="25" fillId="11" borderId="5" xfId="0" applyFont="1" applyFill="1" applyBorder="1" applyAlignment="1">
      <alignment horizontal="left" vertical="center"/>
    </xf>
    <xf numFmtId="0" fontId="25" fillId="11" borderId="36" xfId="0" applyFont="1" applyFill="1" applyBorder="1" applyAlignment="1">
      <alignment horizontal="left" vertical="center"/>
    </xf>
    <xf numFmtId="0" fontId="25" fillId="9" borderId="25" xfId="0" applyFont="1" applyFill="1" applyBorder="1" applyAlignment="1">
      <alignment horizontal="left" vertical="center" wrapText="1"/>
    </xf>
    <xf numFmtId="0" fontId="25" fillId="9" borderId="16" xfId="0" applyFont="1" applyFill="1" applyBorder="1" applyAlignment="1">
      <alignment horizontal="left" vertical="center" wrapText="1"/>
    </xf>
    <xf numFmtId="0" fontId="25" fillId="9" borderId="22" xfId="0" applyFont="1" applyFill="1" applyBorder="1" applyAlignment="1">
      <alignment horizontal="left" vertical="center" wrapText="1"/>
    </xf>
    <xf numFmtId="0" fontId="25" fillId="10" borderId="28" xfId="0" applyFont="1" applyFill="1" applyBorder="1" applyAlignment="1">
      <alignment horizontal="left" vertical="center" wrapText="1"/>
    </xf>
    <xf numFmtId="0" fontId="23" fillId="0" borderId="16" xfId="0" applyFont="1" applyBorder="1"/>
    <xf numFmtId="0" fontId="23" fillId="0" borderId="22" xfId="0" applyFont="1" applyBorder="1"/>
    <xf numFmtId="0" fontId="22" fillId="0" borderId="28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0" fillId="0" borderId="22" xfId="0" applyBorder="1"/>
    <xf numFmtId="0" fontId="22" fillId="3" borderId="28" xfId="0" applyFont="1" applyFill="1" applyBorder="1" applyAlignment="1">
      <alignment horizontal="center" vertical="center" wrapText="1"/>
    </xf>
    <xf numFmtId="0" fontId="23" fillId="0" borderId="24" xfId="0" applyFont="1" applyBorder="1"/>
    <xf numFmtId="49" fontId="1" fillId="7" borderId="28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22" fillId="3" borderId="28" xfId="0" applyFont="1" applyFill="1" applyBorder="1" applyAlignment="1">
      <alignment horizontal="center" vertical="center"/>
    </xf>
    <xf numFmtId="0" fontId="25" fillId="9" borderId="28" xfId="0" applyFont="1" applyFill="1" applyBorder="1" applyAlignment="1">
      <alignment horizontal="left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3" fillId="0" borderId="23" xfId="0" applyFont="1" applyBorder="1"/>
    <xf numFmtId="49" fontId="1" fillId="3" borderId="28" xfId="0" applyNumberFormat="1" applyFont="1" applyFill="1" applyBorder="1" applyAlignment="1">
      <alignment horizontal="center" vertical="center" wrapText="1"/>
    </xf>
    <xf numFmtId="14" fontId="17" fillId="0" borderId="28" xfId="0" applyNumberFormat="1" applyFont="1" applyBorder="1" applyAlignment="1">
      <alignment horizontal="left" vertical="center" wrapText="1"/>
    </xf>
    <xf numFmtId="0" fontId="24" fillId="8" borderId="28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left" vertical="center" wrapText="1"/>
    </xf>
    <xf numFmtId="0" fontId="0" fillId="0" borderId="40" xfId="0" applyBorder="1"/>
    <xf numFmtId="14" fontId="22" fillId="0" borderId="27" xfId="0" applyNumberFormat="1" applyFont="1" applyBorder="1" applyAlignment="1">
      <alignment horizontal="left" vertical="center" wrapText="1"/>
    </xf>
    <xf numFmtId="0" fontId="23" fillId="0" borderId="41" xfId="0" applyFont="1" applyBorder="1"/>
    <xf numFmtId="0" fontId="23" fillId="0" borderId="40" xfId="0" applyFont="1" applyBorder="1"/>
    <xf numFmtId="0" fontId="21" fillId="0" borderId="27" xfId="0" applyFont="1" applyBorder="1" applyAlignment="1">
      <alignment horizontal="left" vertical="center" wrapText="1"/>
    </xf>
    <xf numFmtId="14" fontId="15" fillId="2" borderId="28" xfId="0" applyNumberFormat="1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vertical="center" wrapText="1"/>
    </xf>
    <xf numFmtId="0" fontId="15" fillId="2" borderId="28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0" fillId="0" borderId="5" xfId="0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1331182</xdr:colOff>
      <xdr:row>34</xdr:row>
      <xdr:rowOff>50636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240"/>
          <a:ext cx="3304762" cy="6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3</xdr:col>
      <xdr:colOff>2071964</xdr:colOff>
      <xdr:row>64</xdr:row>
      <xdr:rowOff>126950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0440"/>
          <a:ext cx="5409524" cy="5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2</xdr:col>
      <xdr:colOff>26420</xdr:colOff>
      <xdr:row>105</xdr:row>
      <xdr:rowOff>12417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472160"/>
          <a:ext cx="2000000" cy="73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c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c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hung.vu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48"/>
  <sheetViews>
    <sheetView workbookViewId="0">
      <selection activeCell="E19" sqref="E19:G19"/>
    </sheetView>
  </sheetViews>
  <sheetFormatPr defaultColWidth="12.6640625" defaultRowHeight="15" customHeight="1" x14ac:dyDescent="0.25"/>
  <cols>
    <col min="1" max="1" width="4.6640625" style="60" customWidth="1"/>
    <col min="2" max="14" width="8.88671875" style="60" customWidth="1"/>
  </cols>
  <sheetData>
    <row r="1" spans="1:19" ht="13.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3"/>
      <c r="Q1" s="3"/>
      <c r="R1" s="3"/>
      <c r="S1" s="3"/>
    </row>
    <row r="2" spans="1:19" ht="13.8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3"/>
      <c r="P2" s="3"/>
      <c r="Q2" s="3"/>
      <c r="R2" s="3"/>
      <c r="S2" s="3"/>
    </row>
    <row r="3" spans="1:19" ht="13.8" customHeigh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3"/>
      <c r="P3" s="3"/>
      <c r="Q3" s="3"/>
      <c r="R3" s="3"/>
      <c r="S3" s="3"/>
    </row>
    <row r="4" spans="1:19" ht="13.8" customHeight="1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3"/>
      <c r="P4" s="3"/>
      <c r="Q4" s="3"/>
      <c r="R4" s="3"/>
      <c r="S4" s="3"/>
    </row>
    <row r="5" spans="1:19" ht="13.8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3"/>
      <c r="P5" s="3"/>
      <c r="Q5" s="3"/>
      <c r="R5" s="3"/>
      <c r="S5" s="3"/>
    </row>
    <row r="6" spans="1:19" ht="18" customHeight="1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3"/>
      <c r="P6" s="3"/>
      <c r="Q6" s="3"/>
      <c r="R6" s="3"/>
      <c r="S6" s="3"/>
    </row>
    <row r="7" spans="1:19" ht="22.5" customHeight="1" x14ac:dyDescent="0.25">
      <c r="A7" s="1"/>
      <c r="B7" s="4"/>
      <c r="C7" s="4"/>
      <c r="D7" s="4"/>
      <c r="E7" s="97" t="s">
        <v>0</v>
      </c>
      <c r="F7" s="98"/>
      <c r="G7" s="98"/>
      <c r="H7" s="98"/>
      <c r="I7" s="98"/>
      <c r="J7" s="98"/>
      <c r="K7" s="98"/>
      <c r="L7" s="4"/>
      <c r="M7" s="4"/>
      <c r="N7" s="5"/>
      <c r="O7" s="3"/>
      <c r="P7" s="3"/>
      <c r="Q7" s="3"/>
      <c r="R7" s="3"/>
      <c r="S7" s="3"/>
    </row>
    <row r="8" spans="1:19" ht="13.8" customHeight="1" x14ac:dyDescent="0.25">
      <c r="A8" s="1"/>
      <c r="B8" s="4"/>
      <c r="C8" s="4"/>
      <c r="D8" s="4"/>
      <c r="E8" s="98"/>
      <c r="F8" s="98"/>
      <c r="G8" s="98"/>
      <c r="H8" s="98"/>
      <c r="I8" s="98"/>
      <c r="J8" s="98"/>
      <c r="K8" s="98"/>
      <c r="L8" s="4"/>
      <c r="M8" s="4"/>
      <c r="N8" s="5"/>
      <c r="O8" s="3"/>
      <c r="P8" s="3"/>
      <c r="Q8" s="3"/>
      <c r="R8" s="3"/>
      <c r="S8" s="3"/>
    </row>
    <row r="9" spans="1:19" ht="13.8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3"/>
      <c r="P9" s="3"/>
      <c r="Q9" s="3"/>
      <c r="R9" s="3"/>
      <c r="S9" s="3"/>
    </row>
    <row r="10" spans="1:19" ht="13.8" customHeight="1" x14ac:dyDescent="0.25">
      <c r="A10" s="1"/>
      <c r="B10" s="4"/>
      <c r="C10" s="4"/>
      <c r="D10" s="4"/>
      <c r="E10" s="102" t="s">
        <v>1</v>
      </c>
      <c r="F10" s="98"/>
      <c r="G10" s="98"/>
      <c r="H10" s="98"/>
      <c r="I10" s="98"/>
      <c r="J10" s="98"/>
      <c r="K10" s="98"/>
      <c r="L10" s="4"/>
      <c r="M10" s="4"/>
      <c r="N10" s="5"/>
      <c r="O10" s="3"/>
      <c r="P10" s="3"/>
      <c r="Q10" s="3"/>
      <c r="R10" s="3"/>
      <c r="S10" s="3"/>
    </row>
    <row r="11" spans="1:19" ht="13.8" customHeight="1" x14ac:dyDescent="0.25">
      <c r="A11" s="1"/>
      <c r="B11" s="4"/>
      <c r="C11" s="4"/>
      <c r="D11" s="4"/>
      <c r="E11" s="98"/>
      <c r="F11" s="98"/>
      <c r="G11" s="98"/>
      <c r="H11" s="98"/>
      <c r="I11" s="98"/>
      <c r="J11" s="98"/>
      <c r="K11" s="98"/>
      <c r="L11" s="4"/>
      <c r="M11" s="4"/>
      <c r="N11" s="5"/>
      <c r="O11" s="3"/>
      <c r="P11" s="3"/>
      <c r="Q11" s="3"/>
      <c r="R11" s="3"/>
      <c r="S11" s="3"/>
    </row>
    <row r="12" spans="1:19" ht="13.8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3"/>
      <c r="P12" s="3"/>
      <c r="Q12" s="3"/>
      <c r="R12" s="3"/>
      <c r="S12" s="3"/>
    </row>
    <row r="13" spans="1:19" ht="13.8" customHeight="1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3"/>
      <c r="P13" s="3"/>
      <c r="Q13" s="3"/>
      <c r="R13" s="3"/>
      <c r="S13" s="3"/>
    </row>
    <row r="14" spans="1:19" ht="13.8" customHeight="1" x14ac:dyDescent="0.25">
      <c r="A14" s="1"/>
      <c r="B14" s="4"/>
      <c r="C14" s="99" t="s">
        <v>2</v>
      </c>
      <c r="D14" s="98"/>
      <c r="E14" s="101" t="s">
        <v>1</v>
      </c>
      <c r="F14" s="98"/>
      <c r="G14" s="98"/>
      <c r="H14" s="4"/>
      <c r="I14" s="99" t="s">
        <v>3</v>
      </c>
      <c r="J14" s="98"/>
      <c r="K14" s="100" t="s">
        <v>4</v>
      </c>
      <c r="L14" s="98"/>
      <c r="M14" s="98"/>
      <c r="N14" s="5"/>
      <c r="O14" s="3"/>
      <c r="P14" s="3"/>
      <c r="Q14" s="3"/>
      <c r="R14" s="3"/>
      <c r="S14" s="3"/>
    </row>
    <row r="15" spans="1:19" ht="13.8" customHeight="1" x14ac:dyDescent="0.25">
      <c r="A15" s="1"/>
      <c r="B15" s="4"/>
      <c r="C15" s="99" t="s">
        <v>5</v>
      </c>
      <c r="D15" s="98"/>
      <c r="E15" s="101" t="s">
        <v>1</v>
      </c>
      <c r="F15" s="98"/>
      <c r="G15" s="98"/>
      <c r="H15" s="4"/>
      <c r="I15" s="99" t="s">
        <v>6</v>
      </c>
      <c r="J15" s="98"/>
      <c r="K15" s="100" t="s">
        <v>7</v>
      </c>
      <c r="L15" s="98"/>
      <c r="M15" s="98"/>
      <c r="N15" s="5"/>
      <c r="O15" s="3"/>
      <c r="P15" s="3"/>
      <c r="Q15" s="3"/>
      <c r="R15" s="3"/>
      <c r="S15" s="3"/>
    </row>
    <row r="16" spans="1:19" ht="13.8" customHeight="1" x14ac:dyDescent="0.25">
      <c r="A16" s="1"/>
      <c r="B16" s="4"/>
      <c r="C16" s="37" t="s">
        <v>8</v>
      </c>
      <c r="D16" s="37"/>
      <c r="E16" s="38"/>
      <c r="F16" s="38"/>
      <c r="G16" s="38"/>
      <c r="H16" s="4"/>
      <c r="I16" s="99" t="s">
        <v>9</v>
      </c>
      <c r="J16" s="98"/>
      <c r="K16" s="39"/>
      <c r="L16" s="39"/>
      <c r="M16" s="39"/>
      <c r="N16" s="5"/>
      <c r="O16" s="3"/>
      <c r="P16" s="3"/>
      <c r="Q16" s="3"/>
      <c r="R16" s="3"/>
      <c r="S16" s="3"/>
    </row>
    <row r="17" spans="1:19" ht="13.8" customHeight="1" x14ac:dyDescent="0.25">
      <c r="A17" s="1"/>
      <c r="B17" s="4"/>
      <c r="C17" s="99" t="s">
        <v>10</v>
      </c>
      <c r="D17" s="98"/>
      <c r="E17" s="101" t="s">
        <v>11</v>
      </c>
      <c r="F17" s="98"/>
      <c r="G17" s="98"/>
      <c r="H17" s="4"/>
      <c r="I17" s="99" t="s">
        <v>12</v>
      </c>
      <c r="J17" s="98"/>
      <c r="K17" s="103" t="s">
        <v>13</v>
      </c>
      <c r="L17" s="98"/>
      <c r="M17" s="98"/>
      <c r="N17" s="5"/>
      <c r="O17" s="3"/>
      <c r="P17" s="3"/>
      <c r="Q17" s="3"/>
      <c r="R17" s="3"/>
      <c r="S17" s="3"/>
    </row>
    <row r="18" spans="1:19" ht="13.8" customHeight="1" x14ac:dyDescent="0.25">
      <c r="A18" s="1"/>
      <c r="B18" s="4"/>
      <c r="C18" s="99" t="s">
        <v>6</v>
      </c>
      <c r="D18" s="98"/>
      <c r="E18" s="101" t="s">
        <v>14</v>
      </c>
      <c r="F18" s="98"/>
      <c r="G18" s="98"/>
      <c r="H18" s="4"/>
      <c r="I18" s="99" t="s">
        <v>6</v>
      </c>
      <c r="J18" s="98"/>
      <c r="K18" s="100" t="s">
        <v>15</v>
      </c>
      <c r="L18" s="98"/>
      <c r="M18" s="98"/>
      <c r="N18" s="5"/>
      <c r="O18" s="3"/>
      <c r="P18" s="3"/>
      <c r="Q18" s="3"/>
      <c r="R18" s="3"/>
      <c r="S18" s="3"/>
    </row>
    <row r="19" spans="1:19" ht="13.8" customHeight="1" x14ac:dyDescent="0.25">
      <c r="A19" s="1"/>
      <c r="B19" s="4"/>
      <c r="C19" s="99" t="s">
        <v>16</v>
      </c>
      <c r="D19" s="98"/>
      <c r="E19" s="105">
        <v>46154</v>
      </c>
      <c r="F19" s="98"/>
      <c r="G19" s="98"/>
      <c r="H19" s="4"/>
      <c r="I19" s="99" t="s">
        <v>17</v>
      </c>
      <c r="J19" s="98"/>
      <c r="K19" s="100"/>
      <c r="L19" s="98"/>
      <c r="M19" s="98"/>
      <c r="N19" s="5"/>
      <c r="O19" s="3"/>
      <c r="P19" s="3"/>
      <c r="Q19" s="3"/>
      <c r="R19" s="3"/>
      <c r="S19" s="3"/>
    </row>
    <row r="20" spans="1:19" ht="13.8" customHeight="1" x14ac:dyDescent="0.25">
      <c r="A20" s="1"/>
      <c r="B20" s="4"/>
      <c r="C20" s="99" t="s">
        <v>18</v>
      </c>
      <c r="D20" s="98"/>
      <c r="E20" s="101">
        <v>0.3</v>
      </c>
      <c r="F20" s="98"/>
      <c r="G20" s="98"/>
      <c r="H20" s="4"/>
      <c r="I20" s="99"/>
      <c r="J20" s="98"/>
      <c r="K20" s="104"/>
      <c r="L20" s="98"/>
      <c r="M20" s="98"/>
      <c r="N20" s="5"/>
      <c r="O20" s="3"/>
      <c r="P20" s="3"/>
      <c r="Q20" s="3"/>
      <c r="R20" s="3"/>
      <c r="S20" s="3"/>
    </row>
    <row r="21" spans="1:19" ht="13.8" customHeight="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3"/>
      <c r="P21" s="3"/>
      <c r="Q21" s="3"/>
      <c r="R21" s="3"/>
      <c r="S21" s="3"/>
    </row>
    <row r="22" spans="1:19" ht="13.8" customHeight="1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3"/>
      <c r="P22" s="3"/>
      <c r="Q22" s="3"/>
      <c r="R22" s="3"/>
      <c r="S22" s="3"/>
    </row>
    <row r="23" spans="1:19" ht="13.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3"/>
      <c r="P23" s="3"/>
      <c r="Q23" s="3"/>
      <c r="R23" s="3"/>
      <c r="S23" s="3"/>
    </row>
    <row r="24" spans="1:19" ht="13.8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3.8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3.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3.8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3.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3.8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3.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3.8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3.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3.8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3.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3.8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3.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3.8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3.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3.8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3.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3.8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3.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3.8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3.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3.8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3.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3.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3.8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3.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3.8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3.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3.8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3.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3.8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3.8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3.8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3.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3.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3.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3.8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3.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3.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3.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3.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3.8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3.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3.8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3.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3.8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3.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3.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3.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3.8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3.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3.8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3.8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3.8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3.8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3.8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3.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3.8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3.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3.8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3.8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3.8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3.8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3.8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3.8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3.8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3.8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3.8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3.8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3.8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3.8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3.8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3.8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3.8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3.8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3.8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3.8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3.8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3.8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3.8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3.8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3.8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3.8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3.8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3.8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3.8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3.8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3.8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3.8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3.8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3.8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3.8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3.8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3.8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3.8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3.8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3.8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3.8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3.8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3.8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3.8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3.8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3.8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3.8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3.8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3.8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3.8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3.8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3.8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3.8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3.8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3.8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3.8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3.8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3.8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3.8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3.8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3.8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3.8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3.8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3.8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3.8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3.8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</sheetData>
  <mergeCells count="27">
    <mergeCell ref="C20:D20"/>
    <mergeCell ref="I16:J16"/>
    <mergeCell ref="K14:M14"/>
    <mergeCell ref="K17:M17"/>
    <mergeCell ref="I18:J18"/>
    <mergeCell ref="K19:M19"/>
    <mergeCell ref="E18:G18"/>
    <mergeCell ref="K18:M18"/>
    <mergeCell ref="I20:J20"/>
    <mergeCell ref="K20:M20"/>
    <mergeCell ref="C19:D19"/>
    <mergeCell ref="I19:J19"/>
    <mergeCell ref="C18:D18"/>
    <mergeCell ref="E20:G20"/>
    <mergeCell ref="E19:G19"/>
    <mergeCell ref="C15:D15"/>
    <mergeCell ref="E7:K8"/>
    <mergeCell ref="I14:J14"/>
    <mergeCell ref="C17:D17"/>
    <mergeCell ref="I17:J17"/>
    <mergeCell ref="K15:M15"/>
    <mergeCell ref="E14:G14"/>
    <mergeCell ref="E17:G17"/>
    <mergeCell ref="E10:K11"/>
    <mergeCell ref="I15:J15"/>
    <mergeCell ref="C14:D14"/>
    <mergeCell ref="E15:G15"/>
  </mergeCells>
  <hyperlinks>
    <hyperlink ref="K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8"/>
  <sheetViews>
    <sheetView workbookViewId="0">
      <selection activeCell="B16" sqref="B16"/>
    </sheetView>
  </sheetViews>
  <sheetFormatPr defaultColWidth="12.6640625" defaultRowHeight="15" customHeight="1" x14ac:dyDescent="0.25"/>
  <cols>
    <col min="1" max="1" width="3.21875" style="60" customWidth="1"/>
    <col min="2" max="2" width="14.6640625" style="60" customWidth="1"/>
    <col min="3" max="3" width="11.109375" style="60" customWidth="1"/>
    <col min="4" max="4" width="21.77734375" style="60" customWidth="1"/>
    <col min="5" max="5" width="9" style="60" customWidth="1"/>
    <col min="6" max="6" width="12.33203125" style="60" customWidth="1"/>
    <col min="7" max="7" width="10.33203125" style="60" customWidth="1"/>
    <col min="8" max="9" width="11.21875" style="60" customWidth="1"/>
    <col min="10" max="10" width="10.6640625" style="60" customWidth="1"/>
    <col min="11" max="11" width="11.77734375" style="60" customWidth="1"/>
    <col min="12" max="12" width="20.33203125" style="60" customWidth="1"/>
    <col min="13" max="13" width="8.77734375" style="60" customWidth="1"/>
    <col min="14" max="14" width="8.109375" style="60" customWidth="1"/>
    <col min="15" max="15" width="10.6640625" style="60" customWidth="1"/>
    <col min="16" max="16" width="5.88671875" style="60" customWidth="1"/>
    <col min="17" max="17" width="4.6640625" style="60" customWidth="1"/>
  </cols>
  <sheetData>
    <row r="1" spans="1:29" ht="39" customHeight="1" x14ac:dyDescent="0.25">
      <c r="A1" s="33"/>
      <c r="B1" s="109" t="s">
        <v>19</v>
      </c>
      <c r="C1" s="117"/>
      <c r="D1" s="117"/>
      <c r="E1" s="117"/>
      <c r="F1" s="117"/>
      <c r="G1" s="117"/>
      <c r="H1" s="117"/>
      <c r="I1" s="117"/>
      <c r="J1" s="118"/>
      <c r="K1" s="33"/>
      <c r="L1" s="33"/>
      <c r="M1" s="33"/>
      <c r="N1" s="33"/>
      <c r="O1" s="33"/>
      <c r="P1" s="33"/>
      <c r="Q1" s="33"/>
      <c r="R1" s="33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25">
      <c r="A2" s="33"/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33"/>
      <c r="L2" s="33"/>
      <c r="M2" s="33"/>
      <c r="N2" s="33"/>
      <c r="O2" s="33"/>
      <c r="P2" s="33"/>
      <c r="Q2" s="33"/>
      <c r="R2" s="33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.75" customHeight="1" x14ac:dyDescent="0.25">
      <c r="A3" s="33"/>
      <c r="B3" s="11" t="s">
        <v>29</v>
      </c>
      <c r="C3" s="10">
        <f>IFERROR((F3+G3)/(E3-H3-I3),0)</f>
        <v>0</v>
      </c>
      <c r="D3" s="10">
        <f>IFERROR((F3)/(E3-H3-I3),0)</f>
        <v>0</v>
      </c>
      <c r="E3" s="11" t="e">
        <f>SUM(F3:J3)</f>
        <v>#REF!</v>
      </c>
      <c r="F3" s="11" t="e">
        <f>[1]Testcase!J1+[1]Testcase!M1</f>
        <v>#REF!</v>
      </c>
      <c r="G3" s="11" t="e">
        <f>[1]Testcase!J2+[1]Testcase!M2</f>
        <v>#REF!</v>
      </c>
      <c r="H3" s="11" t="e">
        <f>[1]Testcase!J5+[1]Testcase!M5</f>
        <v>#REF!</v>
      </c>
      <c r="I3" s="11" t="e">
        <f>[1]Testcase!J4+[1]Testcase!M4</f>
        <v>#REF!</v>
      </c>
      <c r="J3" s="11" t="e">
        <f>[1]Testcase!J3+[1]Testcase!M3</f>
        <v>#REF!</v>
      </c>
      <c r="K3" s="33"/>
      <c r="L3" s="33"/>
      <c r="M3" s="33"/>
      <c r="N3" s="33"/>
      <c r="O3" s="33"/>
      <c r="P3" s="33"/>
      <c r="Q3" s="33"/>
      <c r="R3" s="33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.75" customHeight="1" x14ac:dyDescent="0.25">
      <c r="A4" s="33"/>
      <c r="B4" s="11"/>
      <c r="C4" s="10"/>
      <c r="D4" s="10"/>
      <c r="E4" s="11"/>
      <c r="F4" s="11"/>
      <c r="G4" s="11"/>
      <c r="H4" s="11"/>
      <c r="I4" s="11"/>
      <c r="J4" s="11"/>
      <c r="K4" s="33"/>
      <c r="L4" s="33"/>
      <c r="M4" s="33"/>
      <c r="N4" s="33"/>
      <c r="O4" s="33"/>
      <c r="P4" s="33"/>
      <c r="Q4" s="33"/>
      <c r="R4" s="3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5.75" customHeight="1" x14ac:dyDescent="0.25">
      <c r="A5" s="33"/>
      <c r="B5" s="11"/>
      <c r="C5" s="10"/>
      <c r="D5" s="10"/>
      <c r="E5" s="11"/>
      <c r="F5" s="11"/>
      <c r="G5" s="11"/>
      <c r="H5" s="11"/>
      <c r="I5" s="11"/>
      <c r="J5" s="11"/>
      <c r="K5" s="33"/>
      <c r="L5" s="33"/>
      <c r="M5" s="33"/>
      <c r="N5" s="33"/>
      <c r="O5" s="33"/>
      <c r="P5" s="33"/>
      <c r="Q5" s="33"/>
      <c r="R5" s="33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.75" customHeight="1" x14ac:dyDescent="0.25">
      <c r="A6" s="33"/>
      <c r="B6" s="11"/>
      <c r="C6" s="10"/>
      <c r="D6" s="10"/>
      <c r="E6" s="11"/>
      <c r="F6" s="11"/>
      <c r="G6" s="11"/>
      <c r="H6" s="11"/>
      <c r="I6" s="11"/>
      <c r="J6" s="11"/>
      <c r="K6" s="33"/>
      <c r="L6" s="33"/>
      <c r="M6" s="33"/>
      <c r="N6" s="33"/>
      <c r="O6" s="33"/>
      <c r="P6" s="33"/>
      <c r="Q6" s="33"/>
      <c r="R6" s="33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15.75" customHeight="1" x14ac:dyDescent="0.25">
      <c r="A7" s="33"/>
      <c r="B7" s="11"/>
      <c r="C7" s="10"/>
      <c r="D7" s="10"/>
      <c r="E7" s="11"/>
      <c r="F7" s="11"/>
      <c r="G7" s="11"/>
      <c r="H7" s="11"/>
      <c r="I7" s="11"/>
      <c r="J7" s="11"/>
      <c r="K7" s="33"/>
      <c r="L7" s="33"/>
      <c r="M7" s="33"/>
      <c r="N7" s="33"/>
      <c r="O7" s="33"/>
      <c r="P7" s="33"/>
      <c r="Q7" s="33"/>
      <c r="R7" s="33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15.75" customHeight="1" x14ac:dyDescent="0.25">
      <c r="A8" s="33"/>
      <c r="B8" s="11"/>
      <c r="C8" s="10"/>
      <c r="D8" s="10"/>
      <c r="E8" s="11"/>
      <c r="F8" s="11"/>
      <c r="G8" s="11"/>
      <c r="H8" s="11"/>
      <c r="I8" s="11"/>
      <c r="J8" s="11"/>
      <c r="K8" s="33"/>
      <c r="L8" s="33"/>
      <c r="M8" s="33"/>
      <c r="N8" s="33"/>
      <c r="O8" s="33"/>
      <c r="P8" s="33"/>
      <c r="Q8" s="33"/>
      <c r="R8" s="33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15.75" customHeight="1" x14ac:dyDescent="0.25">
      <c r="A9" s="33"/>
      <c r="B9" s="9" t="s">
        <v>30</v>
      </c>
      <c r="C9" s="12">
        <f>IFERROR((F9+G9)/(E9-H9-I9),0)</f>
        <v>0</v>
      </c>
      <c r="D9" s="12">
        <f>IFERROR((F9)/(E9-H9-I9),0)</f>
        <v>0</v>
      </c>
      <c r="E9" s="9" t="e">
        <f t="shared" ref="E9:J9" si="0">SUM(E3:E8)</f>
        <v>#REF!</v>
      </c>
      <c r="F9" s="9" t="e">
        <f t="shared" si="0"/>
        <v>#REF!</v>
      </c>
      <c r="G9" s="9" t="e">
        <f t="shared" si="0"/>
        <v>#REF!</v>
      </c>
      <c r="H9" s="9" t="e">
        <f t="shared" si="0"/>
        <v>#REF!</v>
      </c>
      <c r="I9" s="9" t="e">
        <f t="shared" si="0"/>
        <v>#REF!</v>
      </c>
      <c r="J9" s="9" t="e">
        <f t="shared" si="0"/>
        <v>#REF!</v>
      </c>
      <c r="K9" s="33"/>
      <c r="L9" s="33"/>
      <c r="M9" s="33"/>
      <c r="N9" s="33"/>
      <c r="O9" s="33"/>
      <c r="P9" s="33"/>
      <c r="Q9" s="33"/>
      <c r="R9" s="33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3.2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3.2" customHeight="1" x14ac:dyDescent="0.25">
      <c r="A11" s="13"/>
      <c r="B11" s="109" t="s">
        <v>31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1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3.2" customHeight="1" x14ac:dyDescent="0.25">
      <c r="A12" s="13"/>
      <c r="B12" s="112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4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26.25" customHeight="1" x14ac:dyDescent="0.25">
      <c r="A13" s="14"/>
      <c r="B13" s="116" t="s">
        <v>32</v>
      </c>
      <c r="C13" s="106" t="s">
        <v>20</v>
      </c>
      <c r="D13" s="106" t="s">
        <v>33</v>
      </c>
      <c r="E13" s="121" t="s">
        <v>8</v>
      </c>
      <c r="F13" s="115" t="s">
        <v>34</v>
      </c>
      <c r="G13" s="115" t="s">
        <v>35</v>
      </c>
      <c r="H13" s="116" t="s">
        <v>36</v>
      </c>
      <c r="I13" s="117"/>
      <c r="J13" s="117"/>
      <c r="K13" s="118"/>
      <c r="L13" s="120" t="s">
        <v>37</v>
      </c>
      <c r="M13" s="117"/>
      <c r="N13" s="117"/>
      <c r="O13" s="117"/>
      <c r="P13" s="117"/>
      <c r="Q13" s="117"/>
      <c r="R13" s="118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27.75" customHeight="1" x14ac:dyDescent="0.25">
      <c r="A14" s="14"/>
      <c r="B14" s="107"/>
      <c r="C14" s="107"/>
      <c r="D14" s="107"/>
      <c r="E14" s="107"/>
      <c r="F14" s="107"/>
      <c r="G14" s="107"/>
      <c r="H14" s="106" t="s">
        <v>38</v>
      </c>
      <c r="I14" s="106" t="s">
        <v>39</v>
      </c>
      <c r="J14" s="106" t="s">
        <v>40</v>
      </c>
      <c r="K14" s="106" t="s">
        <v>41</v>
      </c>
      <c r="L14" s="119" t="s">
        <v>42</v>
      </c>
      <c r="M14" s="119" t="s">
        <v>43</v>
      </c>
      <c r="N14" s="119" t="s">
        <v>44</v>
      </c>
      <c r="O14" s="119" t="s">
        <v>45</v>
      </c>
      <c r="P14" s="119" t="s">
        <v>46</v>
      </c>
      <c r="Q14" s="119" t="s">
        <v>40</v>
      </c>
      <c r="R14" s="119" t="s">
        <v>41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6.75" customHeight="1" x14ac:dyDescent="0.25">
      <c r="A15" s="14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26.4" customHeight="1" x14ac:dyDescent="0.25">
      <c r="A16" s="14"/>
      <c r="B16" s="15">
        <v>1</v>
      </c>
      <c r="C16" s="16" t="s">
        <v>29</v>
      </c>
      <c r="D16" s="16" t="s">
        <v>47</v>
      </c>
      <c r="E16" s="17"/>
      <c r="F16" s="17"/>
      <c r="G16" s="17"/>
      <c r="H16" s="17"/>
      <c r="I16" s="17"/>
      <c r="J16" s="17" t="s">
        <v>11</v>
      </c>
      <c r="K16" s="17" t="s">
        <v>48</v>
      </c>
      <c r="L16" s="17"/>
      <c r="M16" s="40"/>
      <c r="N16" s="40"/>
      <c r="O16" s="17"/>
      <c r="P16" s="18">
        <f>L16+N16</f>
        <v>0</v>
      </c>
      <c r="Q16" s="17"/>
      <c r="R16" s="17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.75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.75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.75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customHeight="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customHeigh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.7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.7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.7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7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.7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5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5.7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.7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.75" customHeigh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.7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.7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.7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5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5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15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15.7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15.7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5.7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15.7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15.7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15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15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15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5.7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15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15.7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15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15.75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15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15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5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15.7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15.75" customHeight="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15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15.7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15.7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15.75" customHeight="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15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15.75" customHeight="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15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15.75" customHeight="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15.7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15.7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15.7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15.7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15.7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5.7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15.7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15.7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15.7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15.7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15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15.7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15.7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15.7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15.7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15.7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15.7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15.7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15.7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15.7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15.7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15.7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15.7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15.7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15.7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15.7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15.7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15.7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15.7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15.7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15.7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15.7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15.7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15.7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15.7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15.7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15.7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15.7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15.75" customHeight="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15.75" customHeight="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15.7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15.7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15.7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15.7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15.7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15.7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15.7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15.7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15.7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15.7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15.7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15.7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15.7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15.7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15.7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15.7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15.7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15.7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15.7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15.7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15.7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15.7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15.7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15.7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15.7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15.7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15.7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15.7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15.7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15.7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15.7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15.7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15.7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15.7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15.7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15.7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15.75" customHeight="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15.7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15.7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15.7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15.7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15.7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15.7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15.7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15.7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15.7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15.7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15.7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15.7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15.7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15.7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15.7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15.7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15.7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15.7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15.7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15.7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15.7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15.7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15.7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15.75" customHeight="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15.75" customHeight="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15.75" customHeight="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15.75" customHeight="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15.7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15.75" customHeight="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15.75" customHeight="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15.75" customHeight="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15.75" customHeight="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15.75" customHeight="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15.75" customHeight="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15.75" customHeight="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15.75" customHeight="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15.75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15.7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15.7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15.7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15.7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15.7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15.7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15.7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15.7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15.7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15.7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15.7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15.7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15.7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15.75" customHeight="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15.75" customHeight="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15.75" customHeight="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15.75" customHeight="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15.75" customHeight="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15.75" customHeight="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15.75" customHeight="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15.75" customHeight="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15.75" customHeight="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15.75" customHeight="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15.75" customHeight="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15.75" customHeight="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15.75" customHeight="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15.75" customHeight="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15.75" customHeight="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15.75" customHeight="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15.75" customHeight="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15.75" customHeight="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15.75" customHeight="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15.75" customHeight="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15.75" customHeight="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15.75" customHeight="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15.75" customHeight="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15.75" customHeight="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15.75" customHeight="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15.75" customHeight="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15.75" customHeight="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15.75" customHeight="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15.75" customHeight="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15.75" customHeight="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15.75" customHeight="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15.75" customHeight="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15.75" customHeight="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15.75" customHeight="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15.75" customHeight="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15.75" customHeight="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15.75" customHeight="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15.75" customHeight="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15.75" customHeight="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15.75" customHeight="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15.75" customHeight="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15.75" customHeight="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15.75" customHeight="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15.7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15.7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15.75" customHeight="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15.75" customHeight="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15.75" customHeight="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15.75" customHeight="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15.75" customHeight="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15.75" customHeight="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15.75" customHeight="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15.75" customHeight="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15.75" customHeight="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15.75" customHeight="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15.75" customHeigh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15.75" customHeight="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15.75" customHeigh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15.75" customHeight="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15.75" customHeight="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15.75" customHeight="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15.75" customHeight="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15.75" customHeight="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15.75" customHeight="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15.75" customHeight="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15.75" customHeight="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1:29" ht="15.75" customHeight="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15.75" customHeight="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1:29" ht="15.75" customHeight="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ht="15.75" customHeight="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spans="1:29" ht="15.75" customHeight="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ht="15.75" customHeight="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1:29" ht="15.75" customHeight="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ht="15.75" customHeight="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spans="1:29" ht="15.75" customHeight="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ht="15.75" customHeight="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1:29" ht="15.75" customHeight="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ht="15.75" customHeight="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1:29" ht="15.75" customHeight="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ht="15.75" customHeight="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spans="1:29" ht="15.75" customHeight="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ht="15.7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spans="1:29" ht="15.75" customHeight="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ht="15.75" customHeight="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1:29" ht="15.75" customHeight="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ht="15.75" customHeight="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1:29" ht="15.75" customHeight="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ht="15.75" customHeight="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spans="1:29" ht="15.75" customHeight="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ht="15.75" customHeight="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1:29" ht="15.75" customHeight="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ht="15.75" customHeight="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29" ht="15.75" customHeight="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15.75" customHeight="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1:29" ht="15.75" customHeight="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ht="15.75" customHeight="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1:29" ht="15.75" customHeight="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ht="15.75" customHeight="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spans="1:29" ht="15.75" customHeight="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ht="15.75" customHeight="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1:29" ht="15.75" customHeight="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15.75" customHeight="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spans="1:29" ht="15.75" customHeight="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15.75" customHeight="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1:29" ht="15.75" customHeight="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ht="15.75" customHeight="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1:29" ht="15.75" customHeight="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ht="15.75" customHeight="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spans="1:29" ht="15.75" customHeight="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ht="15.75" customHeight="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spans="1:29" ht="15.75" customHeight="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ht="15.75" customHeight="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spans="1:29" ht="15.75" customHeight="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ht="15.75" customHeight="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spans="1:29" ht="15.75" customHeight="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ht="15.75" customHeight="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spans="1:29" ht="15.75" customHeight="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ht="15.75" customHeight="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spans="1:29" ht="15.75" customHeight="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ht="15.75" customHeight="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spans="1:29" ht="15.75" customHeight="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ht="15.75" customHeight="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spans="1:29" ht="15.75" customHeight="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ht="15.75" customHeight="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spans="1:29" ht="15.75" customHeight="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ht="15.75" customHeight="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spans="1:29" ht="15.75" customHeight="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ht="15.75" customHeight="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1:29" ht="15.75" customHeight="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ht="15.75" customHeight="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1:29" ht="15.75" customHeight="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15.75" customHeight="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1:29" ht="15.75" customHeight="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ht="15.75" customHeight="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1:29" ht="15.75" customHeight="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ht="15.75" customHeight="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1:29" ht="15.75" customHeight="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ht="15.75" customHeight="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1:29" ht="15.75" customHeigh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ht="15.75" customHeight="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1:29" ht="15.75" customHeigh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ht="15.75" customHeight="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1:29" ht="15.75" customHeight="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ht="15.75" customHeight="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1:29" ht="15.75" customHeight="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ht="15.75" customHeight="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1:29" ht="15.75" customHeight="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ht="15.75" customHeight="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1:29" ht="15.75" customHeight="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ht="15.75" customHeight="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1:29" ht="15.75" customHeight="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ht="15.75" customHeight="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spans="1:29" ht="15.75" customHeight="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ht="15.75" customHeight="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spans="1:29" ht="15.75" customHeight="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15.75" customHeight="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spans="1:29" ht="15.75" customHeight="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ht="15.75" customHeight="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spans="1:29" ht="15.75" customHeight="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ht="15.75" customHeight="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15.75" customHeight="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ht="15.75" customHeight="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spans="1:29" ht="15.75" customHeight="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ht="15.75" customHeight="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spans="1:29" ht="15.75" customHeight="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ht="15.75" customHeight="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spans="1:29" ht="15.75" customHeight="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ht="15.75" customHeight="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spans="1:29" ht="15.75" customHeight="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ht="15.75" customHeight="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spans="1:29" ht="15.75" customHeight="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ht="15.75" customHeight="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spans="1:29" ht="15.75" customHeight="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ht="15.75" customHeight="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spans="1:29" ht="15.75" customHeight="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ht="15.75" customHeight="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spans="1:29" ht="15.75" customHeight="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ht="15.75" customHeight="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spans="1:29" ht="15.75" customHeight="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ht="15.75" customHeight="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spans="1:29" ht="15.75" customHeight="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ht="15.75" customHeight="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spans="1:29" ht="15.75" customHeigh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ht="15.75" customHeight="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spans="1:29" ht="15.75" customHeigh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ht="15.75" customHeight="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spans="1:29" ht="15.75" customHeight="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ht="15.75" customHeight="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spans="1:29" ht="15.75" customHeight="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ht="15.75" customHeight="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15.75" customHeight="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ht="15.75" customHeight="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spans="1:29" ht="15.75" customHeight="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spans="1:29" ht="15.75" customHeight="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spans="1:29" ht="15.75" customHeight="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spans="1:29" ht="15.75" customHeight="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spans="1:29" ht="15.75" customHeight="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spans="1:29" ht="15.75" customHeight="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spans="1:29" ht="15.75" customHeight="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spans="1:29" ht="15.75" customHeight="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spans="1:29" ht="15.75" customHeight="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spans="1:29" ht="15.75" customHeight="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spans="1:29" ht="15.75" customHeight="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spans="1:29" ht="15.75" customHeight="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spans="1:29" ht="15.75" customHeight="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spans="1:29" ht="15.75" customHeight="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spans="1:29" ht="15.75" customHeight="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spans="1:29" ht="15.75" customHeight="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spans="1:29" ht="15.75" customHeight="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spans="1:29" ht="15.75" customHeight="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spans="1:29" ht="15.75" customHeight="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spans="1:29" ht="15.75" customHeight="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spans="1:29" ht="15.75" customHeight="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spans="1:29" ht="15.75" customHeight="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spans="1:29" ht="15.75" customHeight="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spans="1:29" ht="15.75" customHeight="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spans="1:29" ht="15.75" customHeight="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spans="1:29" ht="15.75" customHeight="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spans="1:29" ht="15.75" customHeight="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spans="1:29" ht="15.75" customHeight="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spans="1:29" ht="15.75" customHeight="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15.75" customHeight="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spans="1:29" ht="15.75" customHeight="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spans="1:29" ht="15.75" customHeight="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spans="1:29" ht="15.75" customHeight="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spans="1:29" ht="15.75" customHeight="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spans="1:29" ht="15.75" customHeight="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spans="1:29" ht="15.75" customHeight="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spans="1:29" ht="15.75" customHeight="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spans="1:29" ht="15.75" customHeight="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spans="1:29" ht="15.75" customHeight="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spans="1:29" ht="15.75" customHeight="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spans="1:29" ht="15.75" customHeight="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spans="1:29" ht="15.75" customHeight="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spans="1:29" ht="15.75" customHeight="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spans="1:29" ht="15.75" customHeight="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spans="1:29" ht="15.75" customHeight="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spans="1:29" ht="15.75" customHeight="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spans="1:29" ht="15.75" customHeight="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spans="1:29" ht="15.75" customHeight="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spans="1:29" ht="15.75" customHeight="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spans="1:29" ht="15.75" customHeight="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spans="1:29" ht="15.75" customHeight="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spans="1:29" ht="15.75" customHeight="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spans="1:29" ht="15.75" customHeight="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spans="1:29" ht="15.75" customHeight="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spans="1:29" ht="15.75" customHeight="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spans="1:29" ht="15.75" customHeight="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spans="1:29" ht="15.75" customHeight="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spans="1:29" ht="15.75" customHeight="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spans="1:29" ht="15.75" customHeight="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spans="1:29" ht="15.75" customHeight="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spans="1:29" ht="15.75" customHeight="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spans="1:29" ht="15.75" customHeight="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spans="1:29" ht="15.75" customHeight="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spans="1:29" ht="15.75" customHeight="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spans="1:29" ht="15.75" customHeight="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spans="1:29" ht="15.75" customHeight="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15.75" customHeight="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spans="1:29" ht="15.75" customHeight="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spans="1:29" ht="15.75" customHeight="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spans="1:29" ht="15.75" customHeight="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spans="1:29" ht="15.75" customHeight="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spans="1:29" ht="15.75" customHeight="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spans="1:29" ht="15.75" customHeight="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spans="1:29" ht="15.75" customHeight="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spans="1:29" ht="15.75" customHeight="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spans="1:29" ht="15.75" customHeight="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spans="1:29" ht="15.75" customHeight="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ht="15.75" customHeight="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spans="1:29" ht="15.75" customHeight="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spans="1:29" ht="15.75" customHeight="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spans="1:29" ht="15.75" customHeight="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spans="1:29" ht="15.75" customHeight="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spans="1:29" ht="15.75" customHeight="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spans="1:29" ht="15.75" customHeight="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spans="1:29" ht="15.75" customHeight="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spans="1:29" ht="15.7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spans="1:29" ht="15.75" customHeight="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spans="1:29" ht="15.7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spans="1:29" ht="15.7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spans="1:29" ht="15.75" customHeight="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spans="1:29" ht="15.7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ht="15.75" customHeight="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spans="1:29" ht="15.75" customHeight="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spans="1:29" ht="15.75" customHeight="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spans="1:29" ht="15.7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spans="1:29" ht="15.75" customHeight="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spans="1:29" ht="15.75" customHeight="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spans="1:29" ht="15.75" customHeight="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spans="1:29" ht="15.75" customHeight="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spans="1:29" ht="15.75" customHeight="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spans="1:29" ht="15.75" customHeight="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spans="1:29" ht="15.75" customHeight="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15.75" customHeight="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spans="1:29" ht="15.75" customHeight="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spans="1:29" ht="15.75" customHeight="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spans="1:29" ht="15.75" customHeight="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spans="1:29" ht="15.75" customHeight="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spans="1:29" ht="15.75" customHeight="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spans="1:29" ht="15.75" customHeight="1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spans="1:29" ht="15.75" customHeight="1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spans="1:29" ht="15.75" customHeight="1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spans="1:29" ht="15.75" customHeight="1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spans="1:29" ht="15.75" customHeight="1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spans="1:29" ht="15.75" customHeight="1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spans="1:29" ht="15.75" customHeight="1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spans="1:29" ht="15.75" customHeight="1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spans="1:29" ht="15.75" customHeight="1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spans="1:29" ht="15.75" customHeight="1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spans="1:29" ht="15.75" customHeight="1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spans="1:29" ht="15.75" customHeight="1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spans="1:29" ht="15.75" customHeight="1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spans="1:29" ht="15.75" customHeight="1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spans="1:29" ht="15.75" customHeight="1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spans="1:29" ht="15.75" customHeight="1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spans="1:29" ht="15.75" customHeight="1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spans="1:29" ht="15.75" customHeight="1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spans="1:29" ht="15.75" customHeight="1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spans="1:29" ht="15.75" customHeight="1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spans="1:29" ht="15.75" customHeight="1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spans="1:29" ht="15.75" customHeight="1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spans="1:29" ht="15.75" customHeight="1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spans="1:29" ht="15.75" customHeight="1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spans="1:29" ht="15.75" customHeight="1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spans="1:29" ht="15.75" customHeight="1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spans="1:29" ht="15.75" customHeight="1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spans="1:29" ht="15.75" customHeight="1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spans="1:29" ht="15.75" customHeight="1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spans="1:29" ht="15.75" customHeight="1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spans="1:29" ht="15.75" customHeight="1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spans="1:29" ht="15.75" customHeight="1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spans="1:29" ht="15.75" customHeight="1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15.75" customHeight="1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spans="1:29" ht="15.75" customHeight="1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spans="1:29" ht="15.75" customHeight="1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spans="1:29" ht="15.75" customHeight="1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spans="1:29" ht="15.75" customHeight="1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spans="1:29" ht="15.75" customHeight="1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spans="1:29" ht="15.75" customHeight="1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spans="1:29" ht="15.75" customHeight="1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spans="1:29" ht="15.75" customHeight="1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spans="1:29" ht="15.75" customHeight="1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spans="1:29" ht="15.75" customHeight="1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spans="1:29" ht="15.75" customHeight="1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spans="1:29" ht="15.75" customHeight="1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spans="1:29" ht="15.75" customHeight="1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spans="1:29" ht="15.75" customHeight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spans="1:29" ht="15.75" customHeight="1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spans="1:29" ht="15.75" customHeight="1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spans="1:29" ht="15.75" customHeight="1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spans="1:29" ht="15.75" customHeight="1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spans="1:29" ht="15.75" customHeight="1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spans="1:29" ht="15.75" customHeight="1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spans="1:29" ht="15.75" customHeight="1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spans="1:29" ht="15.75" customHeight="1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spans="1:29" ht="15.75" customHeight="1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spans="1:29" ht="15.75" customHeight="1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spans="1:29" ht="15.75" customHeight="1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spans="1:29" ht="15.75" customHeigh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spans="1:29" ht="15.75" customHeight="1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spans="1:29" ht="15.75" customHeight="1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spans="1:29" ht="15.75" customHeight="1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spans="1:29" ht="15.75" customHeight="1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spans="1:29" ht="15.75" customHeight="1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spans="1:29" ht="15.75" customHeight="1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spans="1:29" ht="15.75" customHeight="1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spans="1:29" ht="15.75" customHeight="1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spans="1:29" ht="15.75" customHeight="1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spans="1:29" ht="15.75" customHeight="1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spans="1:29" ht="15.75" customHeight="1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spans="1:29" ht="15.75" customHeight="1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spans="1:29" ht="15.75" customHeight="1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spans="1:29" ht="15.75" customHeight="1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spans="1:29" ht="15.75" customHeight="1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spans="1:29" ht="15.75" customHeight="1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spans="1:29" ht="15.75" customHeight="1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15.75" customHeight="1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spans="1:29" ht="15.75" customHeight="1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spans="1:29" ht="15.75" customHeight="1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spans="1:29" ht="15.75" customHeigh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15.75" customHeigh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spans="1:29" ht="15.75" customHeigh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15.75" customHeigh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spans="1:29" ht="15.75" customHeight="1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ht="15.75" customHeight="1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spans="1:29" ht="15.75" customHeight="1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ht="15.75" customHeight="1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spans="1:29" ht="15.75" customHeight="1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spans="1:29" ht="15.75" customHeight="1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spans="1:29" ht="15.75" customHeight="1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spans="1:29" ht="15.75" customHeight="1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spans="1:29" ht="15.75" customHeight="1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spans="1:29" ht="15.75" customHeight="1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spans="1:29" ht="15.75" customHeight="1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spans="1:29" ht="15.75" customHeight="1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spans="1:29" ht="15.75" customHeight="1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ht="15.75" customHeight="1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spans="1:29" ht="15.75" customHeight="1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spans="1:29" ht="15.75" customHeight="1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spans="1:29" ht="15.75" customHeight="1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spans="1:29" ht="15.75" customHeight="1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spans="1:29" ht="15.75" customHeight="1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spans="1:29" ht="15.75" customHeight="1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spans="1:29" ht="15.75" customHeight="1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spans="1:29" ht="15.75" customHeight="1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spans="1:29" ht="15.75" customHeight="1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spans="1:29" ht="15.75" customHeight="1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spans="1:29" ht="15.75" customHeight="1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spans="1:29" ht="15.75" customHeight="1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spans="1:29" ht="15.75" customHeight="1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spans="1:29" ht="15.75" customHeight="1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spans="1:29" ht="15.75" customHeight="1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spans="1:29" ht="15.75" customHeight="1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spans="1:29" ht="15.75" customHeight="1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spans="1:29" ht="15.75" customHeight="1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spans="1:29" ht="15.75" customHeight="1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spans="1:29" ht="15.75" customHeight="1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spans="1:29" ht="15.75" customHeight="1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spans="1:29" ht="15.75" customHeight="1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spans="1:29" ht="15.75" customHeight="1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spans="1:29" ht="15.75" customHeight="1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spans="1:29" ht="15.75" customHeight="1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spans="1:29" ht="15.75" customHeight="1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spans="1:29" ht="15.75" customHeight="1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spans="1:29" ht="15.75" customHeight="1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spans="1:29" ht="15.75" customHeight="1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spans="1:29" ht="15.75" customHeight="1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spans="1:29" ht="15.75" customHeight="1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spans="1:29" ht="15.75" customHeight="1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spans="1:29" ht="15.75" customHeight="1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spans="1:29" ht="15.75" customHeight="1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spans="1:29" ht="15.75" customHeight="1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spans="1:29" ht="15.75" customHeight="1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spans="1:29" ht="15.75" customHeight="1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spans="1:29" ht="15.75" customHeight="1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spans="1:29" ht="15.75" customHeight="1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spans="1:29" ht="15.75" customHeight="1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spans="1:29" ht="15.75" customHeight="1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spans="1:29" ht="15.75" customHeight="1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spans="1:29" ht="15.75" customHeight="1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spans="1:29" ht="15.75" customHeight="1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spans="1:29" ht="15.75" customHeight="1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spans="1:29" ht="15.75" customHeight="1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spans="1:29" ht="15.75" customHeight="1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ht="15.75" customHeight="1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spans="1:29" ht="15.75" customHeight="1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ht="15.75" customHeight="1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spans="1:29" ht="15.75" customHeight="1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spans="1:29" ht="15.75" customHeight="1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spans="1:29" ht="15.75" customHeight="1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spans="1:29" ht="15.75" customHeight="1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spans="1:29" ht="15.75" customHeight="1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spans="1:29" ht="15.75" customHeight="1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spans="1:29" ht="15.75" customHeight="1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spans="1:29" ht="15.75" customHeight="1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spans="1:29" ht="15.75" customHeight="1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spans="1:29" ht="15.75" customHeight="1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spans="1:29" ht="15.75" customHeight="1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spans="1:29" ht="15.75" customHeight="1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spans="1:29" ht="15.75" customHeight="1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spans="1:29" ht="15.7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spans="1:29" ht="15.75" customHeight="1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spans="1:29" ht="15.75" customHeight="1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spans="1:29" ht="15.75" customHeight="1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spans="1:29" ht="15.75" customHeight="1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spans="1:29" ht="15.75" customHeight="1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spans="1:29" ht="15.75" customHeight="1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spans="1:29" ht="15.75" customHeight="1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spans="1:29" ht="15.75" customHeight="1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spans="1:29" ht="15.75" customHeight="1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spans="1:29" ht="15.75" customHeight="1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spans="1:29" ht="15.75" customHeight="1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spans="1:29" ht="15.75" customHeight="1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spans="1:29" ht="15.75" customHeight="1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spans="1:29" ht="15.75" customHeight="1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spans="1:29" ht="15.75" customHeight="1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spans="1:29" ht="15.75" customHeight="1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spans="1:29" ht="15.75" customHeight="1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spans="1:29" ht="15.75" customHeight="1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spans="1:29" ht="15.75" customHeight="1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spans="1:29" ht="15.75" customHeight="1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spans="1:29" ht="15.75" customHeigh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spans="1:29" ht="15.75" customHeigh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spans="1:29" ht="15.75" customHeigh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spans="1:29" ht="15.75" customHeight="1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spans="1:29" ht="15.75" customHeight="1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spans="1:29" ht="15.75" customHeight="1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spans="1:29" ht="15.75" customHeight="1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spans="1:29" ht="15.75" customHeight="1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spans="1:29" ht="15.75" customHeight="1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spans="1:29" ht="15.75" customHeight="1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spans="1:29" ht="15.75" customHeight="1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spans="1:29" ht="15.75" customHeight="1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spans="1:29" ht="15.75" customHeight="1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spans="1:29" ht="15.75" customHeight="1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spans="1:29" ht="15.75" customHeight="1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spans="1:29" ht="15.75" customHeight="1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spans="1:29" ht="15.75" customHeight="1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spans="1:29" ht="15.75" customHeight="1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spans="1:29" ht="15.75" customHeight="1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spans="1:29" ht="15.75" customHeight="1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spans="1:29" ht="15.75" customHeight="1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spans="1:29" ht="15.75" customHeight="1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spans="1:29" ht="15.75" customHeight="1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spans="1:29" ht="15.75" customHeight="1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spans="1:29" ht="15.75" customHeight="1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spans="1:29" ht="15.75" customHeight="1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spans="1:29" ht="15.75" customHeight="1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spans="1:29" ht="15.75" customHeight="1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spans="1:29" ht="15.75" customHeight="1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spans="1:29" ht="15.75" customHeight="1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spans="1:29" ht="15.75" customHeight="1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spans="1:29" ht="15.75" customHeight="1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spans="1:29" ht="15.75" customHeight="1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spans="1:29" ht="15.75" customHeight="1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spans="1:29" ht="15.75" customHeight="1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spans="1:29" ht="15.75" customHeight="1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spans="1:29" ht="15.75" customHeight="1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spans="1:29" ht="15.75" customHeight="1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spans="1:29" ht="15.75" customHeight="1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spans="1:29" ht="15.75" customHeight="1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spans="1:29" ht="15.75" customHeight="1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spans="1:29" ht="15.75" customHeight="1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spans="1:29" ht="15.75" customHeight="1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spans="1:29" ht="15.75" customHeight="1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spans="1:29" ht="15.75" customHeight="1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spans="1:29" ht="15.75" customHeight="1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spans="1:29" ht="15.75" customHeight="1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spans="1:29" ht="15.75" customHeight="1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spans="1:29" ht="15.75" customHeight="1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spans="1:29" ht="15.75" customHeight="1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spans="1:29" ht="15.75" customHeight="1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spans="1:29" ht="15.75" customHeight="1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spans="1:29" ht="15.75" customHeight="1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spans="1:29" ht="15.75" customHeight="1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spans="1:29" ht="15.75" customHeight="1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ht="15.75" customHeight="1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spans="1:29" ht="15.75" customHeight="1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spans="1:29" ht="15.75" customHeight="1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spans="1:29" ht="15.75" customHeight="1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spans="1:29" ht="15.75" customHeight="1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spans="1:29" ht="15.75" customHeight="1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spans="1:29" ht="15.75" customHeight="1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spans="1:29" ht="15.75" customHeight="1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ht="15.75" customHeight="1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spans="1:29" ht="15.75" customHeight="1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spans="1:29" ht="15.75" customHeight="1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spans="1:29" ht="15.75" customHeight="1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spans="1:29" ht="15.75" customHeight="1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spans="1:29" ht="15.75" customHeight="1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spans="1:29" ht="15.75" customHeight="1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spans="1:29" ht="15.75" customHeight="1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spans="1:29" ht="15.75" customHeight="1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spans="1:29" ht="15.75" customHeight="1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spans="1:29" ht="15.75" customHeight="1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spans="1:29" ht="15.75" customHeight="1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spans="1:29" ht="15.75" customHeight="1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spans="1:29" ht="15.75" customHeight="1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spans="1:29" ht="15.75" customHeight="1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spans="1:29" ht="15.75" customHeight="1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spans="1:29" ht="15.75" customHeight="1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spans="1:29" ht="15.75" customHeight="1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spans="1:29" ht="15.75" customHeight="1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spans="1:29" ht="15.75" customHeight="1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spans="1:29" ht="15.75" customHeight="1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spans="1:29" ht="15.75" customHeight="1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spans="1:29" ht="15.75" customHeight="1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spans="1:29" ht="15.75" customHeight="1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spans="1:29" ht="15.75" customHeight="1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spans="1:29" ht="15.75" customHeight="1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ht="15.75" customHeight="1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spans="1:29" ht="15.75" customHeight="1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spans="1:29" ht="15.75" customHeight="1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spans="1:29" ht="15.75" customHeight="1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spans="1:29" ht="15.75" customHeight="1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spans="1:29" ht="15.75" customHeight="1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spans="1:29" ht="15.75" customHeight="1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spans="1:29" ht="15.75" customHeight="1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spans="1:29" ht="15.75" customHeight="1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spans="1:29" ht="15.75" customHeight="1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spans="1:29" ht="15.75" customHeight="1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spans="1:29" ht="15.75" customHeight="1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spans="1:29" ht="15.75" customHeight="1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spans="1:29" ht="15.75" customHeight="1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spans="1:29" ht="15.75" customHeight="1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spans="1:29" ht="15.75" customHeight="1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spans="1:29" ht="15.75" customHeight="1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spans="1:29" ht="15.75" customHeight="1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ht="15.75" customHeight="1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spans="1:29" ht="15.75" customHeight="1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spans="1:29" ht="15.75" customHeight="1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spans="1:29" ht="15.75" customHeight="1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spans="1:29" ht="15.75" customHeight="1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spans="1:29" ht="15.75" customHeight="1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ht="15.75" customHeight="1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spans="1:29" ht="15.75" customHeight="1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ht="15.75" customHeight="1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spans="1:29" ht="15.75" customHeight="1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spans="1:29" ht="15.75" customHeight="1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spans="1:29" ht="15.75" customHeight="1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ht="15.75" customHeight="1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spans="1:29" ht="15.75" customHeight="1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spans="1:29" ht="15.75" customHeight="1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spans="1:29" ht="15.75" customHeight="1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spans="1:29" ht="15.75" customHeight="1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spans="1:29" ht="15.75" customHeight="1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spans="1:29" ht="15.75" customHeight="1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spans="1:29" ht="15.75" customHeight="1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15.75" customHeight="1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spans="1:29" ht="15.75" customHeight="1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ht="15.75" customHeight="1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spans="1:29" ht="15.75" customHeight="1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ht="15.75" customHeight="1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spans="1:29" ht="15.75" customHeight="1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15.75" customHeight="1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spans="1:29" ht="15.75" customHeight="1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15.75" customHeight="1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spans="1:29" ht="15.75" customHeight="1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ht="15.75" customHeight="1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 ht="15.75" customHeight="1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ht="15.75" customHeight="1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 ht="15.75" customHeight="1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ht="15.75" customHeight="1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 ht="15.75" customHeight="1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ht="15.75" customHeight="1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 ht="15.75" customHeight="1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ht="15.75" customHeight="1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 ht="15.75" customHeight="1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ht="15.75" customHeight="1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 ht="15.75" customHeight="1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15.75" customHeight="1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 ht="15.75" customHeight="1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ht="15.75" customHeight="1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 ht="15.75" customHeight="1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15.75" customHeight="1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 ht="15.75" customHeight="1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ht="15.75" customHeight="1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 ht="15.75" customHeight="1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 ht="15.75" customHeight="1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 ht="15.75" customHeight="1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 ht="15.75" customHeight="1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 ht="15.75" customHeight="1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 ht="15.75" customHeigh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 ht="15.75" customHeigh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 ht="15.75" customHeigh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 ht="15.75" customHeigh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 ht="15.75" customHeight="1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 ht="15.75" customHeight="1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 ht="15.75" customHeight="1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spans="1:29" ht="15.75" customHeight="1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spans="1:29" ht="15.75" customHeight="1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spans="1:29" ht="15.75" customHeight="1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spans="1:29" ht="15.75" customHeight="1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spans="1:29" ht="15.75" customHeight="1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spans="1:29" ht="15.75" customHeight="1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spans="1:29" ht="15.75" customHeight="1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spans="1:29" ht="15.75" customHeight="1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spans="1:29" ht="15.75" customHeight="1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spans="1:29" ht="15.75" customHeight="1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spans="1:29" ht="15.75" customHeight="1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spans="1:29" ht="15.75" customHeight="1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spans="1:29" ht="15.75" customHeight="1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spans="1:29" ht="15.75" customHeight="1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spans="1:29" ht="15.75" customHeight="1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spans="1:29" ht="15.75" customHeight="1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spans="1:29" ht="15.75" customHeight="1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spans="1:29" ht="15.75" customHeight="1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spans="1:29" ht="15.75" customHeight="1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spans="1:29" ht="15.75" customHeight="1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spans="1:29" ht="15.75" customHeight="1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spans="1:29" ht="15.75" customHeight="1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spans="1:29" ht="15.75" customHeight="1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spans="1:29" ht="15.75" customHeight="1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spans="1:29" ht="15.75" customHeight="1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spans="1:29" ht="15.75" customHeight="1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spans="1:29" ht="15.75" customHeight="1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spans="1:29" ht="15.75" customHeight="1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spans="1:29" ht="15.75" customHeight="1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spans="1:29" ht="15.75" customHeight="1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spans="1:29" ht="15.75" customHeight="1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spans="1:29" ht="15.75" customHeight="1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spans="1:29" ht="15.75" customHeight="1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spans="1:29" ht="15.75" customHeight="1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spans="1:29" ht="15.75" customHeight="1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spans="1:29" ht="15.75" customHeight="1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spans="1:29" ht="15.75" customHeight="1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spans="1:29" ht="15.75" customHeight="1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spans="1:29" ht="15.75" customHeight="1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spans="1:29" ht="15.75" customHeight="1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spans="1:29" ht="15.75" customHeight="1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spans="1:29" ht="15.75" customHeight="1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spans="1:29" ht="15.75" customHeight="1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spans="1:29" ht="15.75" customHeight="1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spans="1:29" ht="15.75" customHeight="1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spans="1:29" ht="15.75" customHeight="1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spans="1:29" ht="15.75" customHeight="1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spans="1:29" ht="15.75" customHeight="1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spans="1:29" ht="15.75" customHeight="1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spans="1:29" ht="15.75" customHeight="1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spans="1:29" ht="15.75" customHeight="1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spans="1:29" ht="15.75" customHeight="1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spans="1:29" ht="15.75" customHeight="1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spans="1:29" ht="15.75" customHeight="1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spans="1:29" ht="15.75" customHeight="1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spans="1:29" ht="15.75" customHeight="1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spans="1:29" ht="15.75" customHeight="1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spans="1:29" ht="15.75" customHeight="1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spans="1:29" ht="15.75" customHeight="1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spans="1:29" ht="15.75" customHeight="1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spans="1:29" ht="15.75" customHeight="1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spans="1:29" ht="15.75" customHeight="1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spans="1:29" ht="15.75" customHeight="1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spans="1:29" ht="15.75" customHeight="1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spans="1:29" ht="15.75" customHeight="1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spans="1:29" ht="15.75" customHeight="1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spans="1:29" ht="15.75" customHeight="1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spans="1:29" ht="15.75" customHeight="1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spans="1:29" ht="15.75" customHeight="1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spans="1:29" ht="15.75" customHeight="1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spans="1:29" ht="15.75" customHeight="1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spans="1:29" ht="15.75" customHeight="1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spans="1:29" ht="15.75" customHeight="1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spans="1:29" ht="15.75" customHeight="1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spans="1:29" ht="15.75" customHeight="1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spans="1:29" ht="15.75" customHeight="1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spans="1:29" ht="15.75" customHeight="1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spans="1:29" ht="15.75" customHeight="1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spans="1:29" ht="15.75" customHeight="1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spans="1:29" ht="15.75" customHeight="1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spans="1:29" ht="15.75" customHeight="1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spans="1:29" ht="15.75" customHeight="1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spans="1:29" ht="15.75" customHeight="1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spans="1:29" ht="15.75" customHeight="1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spans="1:29" ht="15.75" customHeight="1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spans="1:29" ht="15.75" customHeight="1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spans="1:29" ht="15.75" customHeight="1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spans="1:29" ht="15.75" customHeight="1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spans="1:29" ht="15.75" customHeight="1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spans="1:29" ht="15.75" customHeight="1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spans="1:29" ht="15.75" customHeight="1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spans="1:29" ht="15.75" customHeight="1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spans="1:29" ht="15.75" customHeight="1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spans="1:29" ht="15.75" customHeight="1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spans="1:29" ht="15.75" customHeight="1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spans="1:29" ht="15.75" customHeight="1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spans="1:29" ht="15.75" customHeight="1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spans="1:29" ht="15.75" customHeight="1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spans="1:29" ht="15.75" customHeight="1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spans="1:29" ht="15.75" customHeight="1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spans="1:29" ht="15.75" customHeight="1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spans="1:29" ht="15.75" customHeight="1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spans="1:29" ht="15.75" customHeight="1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spans="1:29" ht="15.75" customHeight="1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spans="1:29" ht="15.75" customHeight="1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spans="1:29" ht="15.75" customHeight="1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spans="1:29" ht="15.75" customHeight="1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spans="1:29" ht="15.75" customHeight="1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spans="1:29" ht="15.75" customHeight="1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spans="1:29" ht="15.75" customHeight="1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spans="1:29" ht="15.75" customHeight="1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spans="1:29" ht="15.75" customHeight="1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spans="1:29" ht="15.75" customHeight="1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spans="1:29" ht="15.75" customHeight="1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spans="1:29" ht="15.75" customHeight="1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spans="1:29" ht="15.75" customHeight="1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spans="1:29" ht="15.75" customHeight="1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spans="1:29" ht="15.75" customHeight="1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spans="1:29" ht="15.75" customHeight="1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spans="1:29" ht="15.75" customHeight="1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spans="1:29" ht="15.75" customHeight="1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spans="1:29" ht="15.75" customHeight="1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spans="1:29" ht="15.75" customHeight="1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spans="1:29" ht="15.75" customHeight="1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spans="1:29" ht="15.75" customHeight="1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spans="1:29" ht="15.75" customHeight="1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spans="1:29" ht="15.75" customHeight="1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spans="1:29" ht="15.75" customHeight="1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spans="1:29" ht="15.75" customHeight="1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spans="1:29" ht="15.75" customHeight="1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spans="1:29" ht="15.75" customHeight="1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spans="1:29" ht="15.75" customHeight="1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spans="1:29" ht="15.75" customHeight="1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spans="1:29" ht="15.75" customHeight="1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spans="1:29" ht="15.75" customHeight="1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spans="1:29" ht="15.75" customHeight="1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spans="1:29" ht="15.75" customHeight="1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spans="1:29" ht="15.75" customHeight="1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spans="1:29" ht="15.75" customHeight="1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spans="1:29" ht="15.75" customHeight="1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</sheetData>
  <mergeCells count="21">
    <mergeCell ref="B1:J1"/>
    <mergeCell ref="C13:C15"/>
    <mergeCell ref="L14:L15"/>
    <mergeCell ref="N14:N15"/>
    <mergeCell ref="I14:I15"/>
    <mergeCell ref="K14:K15"/>
    <mergeCell ref="M14:M15"/>
    <mergeCell ref="L13:R13"/>
    <mergeCell ref="G13:G15"/>
    <mergeCell ref="O14:O15"/>
    <mergeCell ref="E13:E15"/>
    <mergeCell ref="H14:H15"/>
    <mergeCell ref="J14:J15"/>
    <mergeCell ref="P14:P15"/>
    <mergeCell ref="R14:R15"/>
    <mergeCell ref="B13:B15"/>
    <mergeCell ref="D13:D15"/>
    <mergeCell ref="B11:R12"/>
    <mergeCell ref="F13:F15"/>
    <mergeCell ref="H13:K13"/>
    <mergeCell ref="Q14:Q15"/>
  </mergeCells>
  <dataValidations count="2">
    <dataValidation type="list" allowBlank="1" showErrorMessage="1" sqref="K16">
      <formula1>"To do,In progress,Review,Done"</formula1>
    </dataValidation>
    <dataValidation type="list" allowBlank="1" showErrorMessage="1" sqref="R16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7" sqref="C7"/>
    </sheetView>
  </sheetViews>
  <sheetFormatPr defaultColWidth="12.6640625" defaultRowHeight="15" customHeight="1" x14ac:dyDescent="0.25"/>
  <cols>
    <col min="1" max="1" width="13.88671875" style="60" customWidth="1"/>
    <col min="2" max="2" width="80.77734375" style="60" customWidth="1"/>
    <col min="3" max="3" width="12.6640625" style="60" customWidth="1"/>
    <col min="4" max="4" width="14.77734375" style="60" customWidth="1"/>
    <col min="5" max="6" width="12.6640625" style="60" customWidth="1"/>
  </cols>
  <sheetData>
    <row r="1" spans="1:26" ht="32.25" customHeight="1" x14ac:dyDescent="0.25">
      <c r="A1" s="122" t="s">
        <v>49</v>
      </c>
      <c r="B1" s="98"/>
      <c r="C1" s="98"/>
      <c r="D1" s="98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25">
      <c r="A2" s="125"/>
      <c r="B2" s="98"/>
      <c r="C2" s="98"/>
      <c r="D2" s="98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5">
      <c r="A3" s="123" t="s">
        <v>50</v>
      </c>
      <c r="B3" s="124"/>
      <c r="C3" s="124"/>
      <c r="D3" s="124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21" t="s">
        <v>51</v>
      </c>
      <c r="B4" s="22" t="s">
        <v>52</v>
      </c>
      <c r="C4" s="23" t="s">
        <v>18</v>
      </c>
      <c r="D4" s="24" t="s">
        <v>53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" customHeight="1" x14ac:dyDescent="0.25">
      <c r="A5" s="25">
        <v>46150</v>
      </c>
      <c r="B5" s="26" t="s">
        <v>54</v>
      </c>
      <c r="C5" s="27">
        <v>0.1</v>
      </c>
      <c r="D5" s="27" t="s">
        <v>11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183" customFormat="1" ht="18" customHeight="1" x14ac:dyDescent="0.25">
      <c r="A6" s="179">
        <v>46153</v>
      </c>
      <c r="B6" s="180" t="s">
        <v>1051</v>
      </c>
      <c r="C6" s="181">
        <v>0.2</v>
      </c>
      <c r="D6" s="181" t="s">
        <v>11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 spans="1:26" s="183" customFormat="1" ht="18" customHeight="1" x14ac:dyDescent="0.25">
      <c r="A7" s="179">
        <v>46154</v>
      </c>
      <c r="B7" s="180" t="s">
        <v>1051</v>
      </c>
      <c r="C7" s="181">
        <v>0.3</v>
      </c>
      <c r="D7" s="181" t="s">
        <v>11</v>
      </c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spans="1:26" ht="15.75" customHeight="1" x14ac:dyDescent="0.25">
      <c r="A8" s="2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5">
      <c r="A9" s="2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5">
      <c r="A10" s="2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25">
      <c r="A11" s="2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5">
      <c r="A12" s="2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5">
      <c r="A13" s="2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5">
      <c r="A14" s="2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5">
      <c r="A15" s="2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5">
      <c r="A16" s="2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5">
      <c r="A17" s="2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5">
      <c r="A18" s="2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5">
      <c r="A19" s="2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5">
      <c r="A20" s="2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2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2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2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2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2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2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2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2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2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2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2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2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2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2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2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2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2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2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2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2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2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2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2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2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2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2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2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2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2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2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2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2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2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2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2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2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2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2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2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2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2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2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2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2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2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2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2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2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2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2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2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2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2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2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2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2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2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2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2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2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2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2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2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2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2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2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2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2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2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2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2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2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2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2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8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8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8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8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8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8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8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8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8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8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45"/>
  <sheetViews>
    <sheetView zoomScale="115" zoomScaleNormal="115" workbookViewId="0">
      <selection activeCell="D243" sqref="D243"/>
    </sheetView>
  </sheetViews>
  <sheetFormatPr defaultColWidth="12.6640625" defaultRowHeight="15" customHeight="1" x14ac:dyDescent="0.25"/>
  <cols>
    <col min="1" max="1" width="14.21875" style="60" customWidth="1"/>
    <col min="2" max="2" width="39" style="60" customWidth="1"/>
    <col min="3" max="3" width="37.33203125" style="60" customWidth="1"/>
    <col min="4" max="4" width="50.33203125" style="60" customWidth="1"/>
    <col min="5" max="5" width="48.6640625" style="60" customWidth="1"/>
    <col min="6" max="7" width="16" style="60" customWidth="1"/>
    <col min="11" max="11" width="16" style="60" customWidth="1"/>
    <col min="15" max="15" width="16" style="60" customWidth="1"/>
    <col min="17" max="17" width="16" style="60" customWidth="1"/>
  </cols>
  <sheetData>
    <row r="1" spans="1:18" ht="15.75" customHeight="1" x14ac:dyDescent="0.25">
      <c r="A1" s="76" t="s">
        <v>55</v>
      </c>
      <c r="B1" s="178" t="s">
        <v>1033</v>
      </c>
      <c r="C1" s="174"/>
      <c r="D1" s="157" t="s">
        <v>56</v>
      </c>
      <c r="E1" s="155"/>
      <c r="F1" s="156"/>
      <c r="G1" s="167" t="s">
        <v>57</v>
      </c>
      <c r="H1" s="167" t="s">
        <v>58</v>
      </c>
      <c r="I1" s="46" t="s">
        <v>24</v>
      </c>
      <c r="J1" s="29">
        <f>COUNTIF(G10:G500,"Pass")+COUNTIF(O10:O500,"Pass")</f>
        <v>0</v>
      </c>
      <c r="K1" s="167" t="s">
        <v>59</v>
      </c>
      <c r="L1" s="46" t="s">
        <v>24</v>
      </c>
      <c r="M1" s="29">
        <f>COUNTIF(K10:K500,"Pass")+COUNTIF(Q10:Q500,"Pass")</f>
        <v>0</v>
      </c>
      <c r="N1" s="169" t="s">
        <v>60</v>
      </c>
      <c r="O1" s="162">
        <f>SUM(J1:J4)+SUM(M1:M4)</f>
        <v>440</v>
      </c>
      <c r="P1" s="169" t="s">
        <v>61</v>
      </c>
      <c r="Q1" s="162">
        <f>COUNTA(J10:J86)+COUNTA(N10:N86)</f>
        <v>0</v>
      </c>
      <c r="R1" s="41"/>
    </row>
    <row r="2" spans="1:18" ht="15.75" customHeight="1" x14ac:dyDescent="0.25">
      <c r="A2" s="76" t="s">
        <v>62</v>
      </c>
      <c r="B2" s="173" t="s">
        <v>1034</v>
      </c>
      <c r="C2" s="174"/>
      <c r="D2" s="157"/>
      <c r="E2" s="155"/>
      <c r="F2" s="156"/>
      <c r="G2" s="168"/>
      <c r="H2" s="168"/>
      <c r="I2" s="46" t="s">
        <v>25</v>
      </c>
      <c r="J2" s="29">
        <f>COUNTIF(G10:G500,"Fail")-COUNTIF(O10:O500,"Pass")</f>
        <v>0</v>
      </c>
      <c r="K2" s="168"/>
      <c r="L2" s="46" t="s">
        <v>25</v>
      </c>
      <c r="M2" s="29">
        <f>COUNTIF(K10:K500,"Fail")-COUNTIF(Q10:Q500,"OK")</f>
        <v>0</v>
      </c>
      <c r="N2" s="163"/>
      <c r="O2" s="163"/>
      <c r="P2" s="163"/>
      <c r="Q2" s="163"/>
      <c r="R2" s="41"/>
    </row>
    <row r="3" spans="1:18" ht="15.75" customHeight="1" x14ac:dyDescent="0.25">
      <c r="A3" s="76" t="s">
        <v>33</v>
      </c>
      <c r="B3" s="158"/>
      <c r="C3" s="159"/>
      <c r="D3" s="157" t="s">
        <v>63</v>
      </c>
      <c r="E3" s="155"/>
      <c r="F3" s="156"/>
      <c r="G3" s="168"/>
      <c r="H3" s="168"/>
      <c r="I3" s="46" t="s">
        <v>28</v>
      </c>
      <c r="J3" s="29">
        <f>COUNTIF(G10:G500,"Untested")</f>
        <v>220</v>
      </c>
      <c r="K3" s="168"/>
      <c r="L3" s="46" t="s">
        <v>28</v>
      </c>
      <c r="M3" s="29">
        <f>COUNTIF(K10:K500,"Untested")</f>
        <v>220</v>
      </c>
      <c r="N3" s="163"/>
      <c r="O3" s="163"/>
      <c r="P3" s="163"/>
      <c r="Q3" s="163"/>
      <c r="R3" s="41"/>
    </row>
    <row r="4" spans="1:18" ht="15.75" customHeight="1" x14ac:dyDescent="0.25">
      <c r="A4" s="76" t="s">
        <v>64</v>
      </c>
      <c r="B4" s="157" t="s">
        <v>1035</v>
      </c>
      <c r="C4" s="156"/>
      <c r="D4" s="175">
        <v>46153</v>
      </c>
      <c r="E4" s="176"/>
      <c r="F4" s="177"/>
      <c r="G4" s="168"/>
      <c r="H4" s="168"/>
      <c r="I4" s="46" t="s">
        <v>27</v>
      </c>
      <c r="J4" s="29">
        <f>COUNTIF(G10:G500,"N/A")</f>
        <v>0</v>
      </c>
      <c r="K4" s="168"/>
      <c r="L4" s="46" t="s">
        <v>27</v>
      </c>
      <c r="M4" s="29">
        <f>COUNTIF(K10:K500,"N/A")</f>
        <v>0</v>
      </c>
      <c r="N4" s="163"/>
      <c r="O4" s="163"/>
      <c r="P4" s="163"/>
      <c r="Q4" s="163"/>
      <c r="R4" s="41"/>
    </row>
    <row r="5" spans="1:18" ht="15.75" customHeight="1" x14ac:dyDescent="0.25">
      <c r="A5" s="76" t="s">
        <v>65</v>
      </c>
      <c r="B5" s="158"/>
      <c r="C5" s="159"/>
      <c r="D5" s="170"/>
      <c r="E5" s="124"/>
      <c r="F5" s="159"/>
      <c r="G5" s="161"/>
      <c r="H5" s="161"/>
      <c r="I5" s="46" t="s">
        <v>26</v>
      </c>
      <c r="J5" s="29">
        <f>COUNTIF(G10:G500,"Pending")</f>
        <v>0</v>
      </c>
      <c r="K5" s="161"/>
      <c r="L5" s="46" t="s">
        <v>26</v>
      </c>
      <c r="M5" s="29">
        <f>COUNTIF(K10:K500,"Pending")</f>
        <v>0</v>
      </c>
      <c r="N5" s="164"/>
      <c r="O5" s="164"/>
      <c r="P5" s="164"/>
      <c r="Q5" s="164"/>
      <c r="R5" s="41"/>
    </row>
    <row r="6" spans="1:18" ht="15.75" customHeight="1" x14ac:dyDescent="0.25">
      <c r="A6" s="165" t="s">
        <v>66</v>
      </c>
      <c r="B6" s="160" t="s">
        <v>67</v>
      </c>
      <c r="C6" s="160" t="s">
        <v>68</v>
      </c>
      <c r="D6" s="160" t="s">
        <v>69</v>
      </c>
      <c r="E6" s="160" t="s">
        <v>70</v>
      </c>
      <c r="F6" s="165" t="s">
        <v>71</v>
      </c>
      <c r="G6" s="172" t="s">
        <v>72</v>
      </c>
      <c r="H6" s="155"/>
      <c r="I6" s="155"/>
      <c r="J6" s="156"/>
      <c r="K6" s="172" t="s">
        <v>73</v>
      </c>
      <c r="L6" s="155"/>
      <c r="M6" s="155"/>
      <c r="N6" s="156"/>
      <c r="O6" s="171" t="s">
        <v>74</v>
      </c>
      <c r="P6" s="156"/>
      <c r="Q6" s="171" t="s">
        <v>75</v>
      </c>
      <c r="R6" s="156"/>
    </row>
    <row r="7" spans="1:18" ht="15.75" customHeight="1" x14ac:dyDescent="0.25">
      <c r="A7" s="161"/>
      <c r="B7" s="161"/>
      <c r="C7" s="161"/>
      <c r="D7" s="161"/>
      <c r="E7" s="161"/>
      <c r="F7" s="161"/>
      <c r="G7" s="77" t="s">
        <v>76</v>
      </c>
      <c r="H7" s="77" t="s">
        <v>40</v>
      </c>
      <c r="I7" s="77" t="s">
        <v>77</v>
      </c>
      <c r="J7" s="77" t="s">
        <v>78</v>
      </c>
      <c r="K7" s="77" t="s">
        <v>76</v>
      </c>
      <c r="L7" s="77" t="s">
        <v>40</v>
      </c>
      <c r="M7" s="77" t="s">
        <v>77</v>
      </c>
      <c r="N7" s="77" t="s">
        <v>78</v>
      </c>
      <c r="O7" s="78" t="s">
        <v>76</v>
      </c>
      <c r="P7" s="78" t="s">
        <v>40</v>
      </c>
      <c r="Q7" s="78" t="s">
        <v>76</v>
      </c>
      <c r="R7" s="78" t="s">
        <v>40</v>
      </c>
    </row>
    <row r="8" spans="1:18" ht="14.4" customHeight="1" x14ac:dyDescent="0.25">
      <c r="A8" s="79"/>
      <c r="B8" s="166" t="s">
        <v>79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6"/>
    </row>
    <row r="9" spans="1:18" ht="14.4" customHeight="1" x14ac:dyDescent="0.25">
      <c r="A9" s="80"/>
      <c r="B9" s="154" t="s">
        <v>80</v>
      </c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6"/>
    </row>
    <row r="10" spans="1:18" ht="127.8" customHeight="1" x14ac:dyDescent="0.25">
      <c r="A10" s="42" t="s">
        <v>81</v>
      </c>
      <c r="B10" s="42" t="s">
        <v>82</v>
      </c>
      <c r="C10" s="42" t="s">
        <v>83</v>
      </c>
      <c r="D10" s="42" t="s">
        <v>84</v>
      </c>
      <c r="E10" s="42" t="s">
        <v>1036</v>
      </c>
      <c r="F10" s="42" t="s">
        <v>85</v>
      </c>
      <c r="G10" s="45" t="s">
        <v>28</v>
      </c>
      <c r="H10" s="43"/>
      <c r="I10" s="43"/>
      <c r="J10" s="43"/>
      <c r="K10" s="45" t="s">
        <v>28</v>
      </c>
      <c r="L10" s="43"/>
      <c r="M10" s="43"/>
      <c r="N10" s="43"/>
      <c r="O10" s="43"/>
      <c r="P10" s="43"/>
      <c r="Q10" s="43"/>
      <c r="R10" s="43"/>
    </row>
    <row r="11" spans="1:18" ht="43.2" customHeight="1" x14ac:dyDescent="0.25">
      <c r="A11" s="53" t="s">
        <v>86</v>
      </c>
      <c r="B11" s="53" t="s">
        <v>87</v>
      </c>
      <c r="C11" s="53" t="s">
        <v>88</v>
      </c>
      <c r="D11" s="53" t="s">
        <v>89</v>
      </c>
      <c r="E11" s="53" t="s">
        <v>90</v>
      </c>
      <c r="F11" s="53" t="s">
        <v>85</v>
      </c>
      <c r="G11" s="45" t="s">
        <v>28</v>
      </c>
      <c r="H11" s="48"/>
      <c r="I11" s="48"/>
      <c r="J11" s="48"/>
      <c r="K11" s="45" t="s">
        <v>28</v>
      </c>
      <c r="L11" s="48"/>
      <c r="M11" s="48"/>
      <c r="N11" s="48"/>
      <c r="O11" s="48"/>
      <c r="P11" s="48"/>
      <c r="Q11" s="48"/>
      <c r="R11" s="48"/>
    </row>
    <row r="12" spans="1:18" ht="42.6" customHeight="1" x14ac:dyDescent="0.25">
      <c r="A12" s="53" t="s">
        <v>91</v>
      </c>
      <c r="B12" s="53" t="s">
        <v>92</v>
      </c>
      <c r="C12" s="53" t="s">
        <v>93</v>
      </c>
      <c r="D12" s="53" t="s">
        <v>94</v>
      </c>
      <c r="E12" s="53" t="s">
        <v>95</v>
      </c>
      <c r="F12" s="53" t="s">
        <v>96</v>
      </c>
      <c r="G12" s="45" t="s">
        <v>28</v>
      </c>
      <c r="H12" s="48"/>
      <c r="I12" s="48"/>
      <c r="J12" s="48"/>
      <c r="K12" s="45" t="s">
        <v>28</v>
      </c>
      <c r="L12" s="48"/>
      <c r="M12" s="48"/>
      <c r="N12" s="48"/>
      <c r="O12" s="48"/>
      <c r="P12" s="48"/>
      <c r="Q12" s="48"/>
      <c r="R12" s="48"/>
    </row>
    <row r="13" spans="1:18" ht="43.2" customHeight="1" x14ac:dyDescent="0.25">
      <c r="A13" s="53" t="s">
        <v>97</v>
      </c>
      <c r="B13" s="53" t="s">
        <v>98</v>
      </c>
      <c r="C13" s="53" t="s">
        <v>99</v>
      </c>
      <c r="D13" s="53" t="s">
        <v>100</v>
      </c>
      <c r="E13" s="47" t="s">
        <v>1037</v>
      </c>
      <c r="F13" s="53" t="s">
        <v>101</v>
      </c>
      <c r="G13" s="45" t="s">
        <v>28</v>
      </c>
      <c r="H13" s="48"/>
      <c r="I13" s="48"/>
      <c r="J13" s="48"/>
      <c r="K13" s="45" t="s">
        <v>28</v>
      </c>
      <c r="L13" s="48"/>
      <c r="M13" s="48"/>
      <c r="N13" s="48"/>
      <c r="O13" s="48"/>
      <c r="P13" s="48"/>
      <c r="Q13" s="48"/>
      <c r="R13" s="48"/>
    </row>
    <row r="14" spans="1:18" ht="43.2" customHeight="1" x14ac:dyDescent="0.25">
      <c r="A14" s="53" t="s">
        <v>102</v>
      </c>
      <c r="B14" s="53" t="s">
        <v>103</v>
      </c>
      <c r="C14" s="53" t="s">
        <v>104</v>
      </c>
      <c r="D14" s="53" t="s">
        <v>105</v>
      </c>
      <c r="E14" s="53" t="s">
        <v>106</v>
      </c>
      <c r="F14" s="53"/>
      <c r="G14" s="45" t="s">
        <v>28</v>
      </c>
      <c r="H14" s="48"/>
      <c r="I14" s="48"/>
      <c r="J14" s="48"/>
      <c r="K14" s="45" t="s">
        <v>28</v>
      </c>
      <c r="L14" s="48"/>
      <c r="M14" s="48"/>
      <c r="N14" s="48"/>
      <c r="O14" s="48"/>
      <c r="P14" s="48"/>
      <c r="Q14" s="48"/>
      <c r="R14" s="48"/>
    </row>
    <row r="15" spans="1:18" ht="28.8" customHeight="1" x14ac:dyDescent="0.25">
      <c r="A15" s="42" t="s">
        <v>107</v>
      </c>
      <c r="B15" s="42" t="s">
        <v>108</v>
      </c>
      <c r="C15" s="42" t="s">
        <v>109</v>
      </c>
      <c r="D15" s="42" t="s">
        <v>110</v>
      </c>
      <c r="E15" s="42" t="s">
        <v>111</v>
      </c>
      <c r="F15" s="42" t="s">
        <v>112</v>
      </c>
      <c r="G15" s="45" t="s">
        <v>28</v>
      </c>
      <c r="H15" s="43"/>
      <c r="I15" s="43"/>
      <c r="J15" s="43"/>
      <c r="K15" s="45" t="s">
        <v>28</v>
      </c>
      <c r="L15" s="43"/>
      <c r="M15" s="43"/>
      <c r="N15" s="43"/>
      <c r="O15" s="43"/>
      <c r="P15" s="43"/>
      <c r="Q15" s="43"/>
      <c r="R15" s="43"/>
    </row>
    <row r="16" spans="1:18" ht="28.8" customHeight="1" x14ac:dyDescent="0.25">
      <c r="A16" s="42" t="s">
        <v>113</v>
      </c>
      <c r="B16" s="42" t="s">
        <v>114</v>
      </c>
      <c r="C16" s="42" t="s">
        <v>93</v>
      </c>
      <c r="D16" s="42" t="s">
        <v>115</v>
      </c>
      <c r="E16" s="42" t="s">
        <v>116</v>
      </c>
      <c r="F16" s="42" t="s">
        <v>96</v>
      </c>
      <c r="G16" s="45" t="s">
        <v>28</v>
      </c>
      <c r="H16" s="43"/>
      <c r="I16" s="43"/>
      <c r="J16" s="43"/>
      <c r="K16" s="45" t="s">
        <v>28</v>
      </c>
      <c r="L16" s="43"/>
      <c r="M16" s="43"/>
      <c r="N16" s="43"/>
      <c r="O16" s="43"/>
      <c r="P16" s="43"/>
      <c r="Q16" s="43"/>
      <c r="R16" s="43"/>
    </row>
    <row r="17" spans="1:18" ht="45" customHeight="1" x14ac:dyDescent="0.25">
      <c r="A17" s="42" t="s">
        <v>117</v>
      </c>
      <c r="B17" s="42" t="s">
        <v>118</v>
      </c>
      <c r="C17" s="42" t="s">
        <v>119</v>
      </c>
      <c r="D17" s="42" t="s">
        <v>120</v>
      </c>
      <c r="E17" s="56" t="s">
        <v>121</v>
      </c>
      <c r="F17" s="42" t="s">
        <v>122</v>
      </c>
      <c r="G17" s="45" t="s">
        <v>28</v>
      </c>
      <c r="H17" s="43"/>
      <c r="I17" s="43"/>
      <c r="J17" s="43"/>
      <c r="K17" s="45" t="s">
        <v>28</v>
      </c>
      <c r="L17" s="43"/>
      <c r="M17" s="43"/>
      <c r="N17" s="43"/>
      <c r="O17" s="43"/>
      <c r="P17" s="43"/>
      <c r="Q17" s="43"/>
      <c r="R17" s="43"/>
    </row>
    <row r="18" spans="1:18" ht="28.8" customHeight="1" x14ac:dyDescent="0.25">
      <c r="A18" s="42" t="s">
        <v>123</v>
      </c>
      <c r="B18" s="42" t="s">
        <v>124</v>
      </c>
      <c r="C18" s="42" t="s">
        <v>125</v>
      </c>
      <c r="D18" s="42" t="s">
        <v>126</v>
      </c>
      <c r="E18" s="42" t="s">
        <v>127</v>
      </c>
      <c r="F18" s="42"/>
      <c r="G18" s="45" t="s">
        <v>28</v>
      </c>
      <c r="H18" s="43"/>
      <c r="I18" s="43"/>
      <c r="J18" s="43"/>
      <c r="K18" s="45" t="s">
        <v>28</v>
      </c>
      <c r="L18" s="43"/>
      <c r="M18" s="43"/>
      <c r="N18" s="43"/>
      <c r="O18" s="43"/>
      <c r="P18" s="43"/>
      <c r="Q18" s="43"/>
      <c r="R18" s="43"/>
    </row>
    <row r="19" spans="1:18" ht="28.8" customHeight="1" x14ac:dyDescent="0.25">
      <c r="A19" s="42" t="s">
        <v>128</v>
      </c>
      <c r="B19" s="62" t="s">
        <v>129</v>
      </c>
      <c r="C19" s="62" t="s">
        <v>130</v>
      </c>
      <c r="D19" s="62" t="s">
        <v>131</v>
      </c>
      <c r="E19" s="62" t="s">
        <v>132</v>
      </c>
      <c r="F19" s="42" t="s">
        <v>133</v>
      </c>
      <c r="G19" s="45" t="s">
        <v>28</v>
      </c>
      <c r="H19" s="43"/>
      <c r="I19" s="43"/>
      <c r="J19" s="43"/>
      <c r="K19" s="45" t="s">
        <v>28</v>
      </c>
      <c r="L19" s="43"/>
      <c r="M19" s="43"/>
      <c r="N19" s="43"/>
      <c r="O19" s="43"/>
      <c r="P19" s="43"/>
      <c r="Q19" s="43"/>
      <c r="R19" s="43"/>
    </row>
    <row r="20" spans="1:18" ht="28.8" customHeight="1" x14ac:dyDescent="0.25">
      <c r="A20" s="61" t="s">
        <v>134</v>
      </c>
      <c r="B20" s="68" t="s">
        <v>135</v>
      </c>
      <c r="C20" s="68" t="s">
        <v>136</v>
      </c>
      <c r="D20" s="68" t="s">
        <v>137</v>
      </c>
      <c r="E20" s="68" t="s">
        <v>138</v>
      </c>
      <c r="F20" s="95" t="s">
        <v>139</v>
      </c>
      <c r="G20" s="63" t="s">
        <v>28</v>
      </c>
      <c r="H20" s="64"/>
      <c r="I20" s="64"/>
      <c r="J20" s="64"/>
      <c r="K20" s="63" t="s">
        <v>28</v>
      </c>
      <c r="L20" s="64"/>
      <c r="M20" s="64"/>
      <c r="N20" s="64"/>
      <c r="O20" s="64"/>
      <c r="P20" s="64"/>
      <c r="Q20" s="64"/>
      <c r="R20" s="64"/>
    </row>
    <row r="21" spans="1:18" ht="28.8" customHeight="1" x14ac:dyDescent="0.25">
      <c r="A21" s="61" t="s">
        <v>140</v>
      </c>
      <c r="B21" s="68" t="s">
        <v>141</v>
      </c>
      <c r="C21" s="68" t="s">
        <v>142</v>
      </c>
      <c r="D21" s="68" t="s">
        <v>137</v>
      </c>
      <c r="E21" s="68" t="s">
        <v>143</v>
      </c>
      <c r="F21" s="96" t="s">
        <v>139</v>
      </c>
      <c r="G21" s="45" t="s">
        <v>28</v>
      </c>
      <c r="H21" s="69"/>
      <c r="I21" s="69"/>
      <c r="J21" s="69"/>
      <c r="K21" s="45" t="s">
        <v>28</v>
      </c>
      <c r="L21" s="69"/>
      <c r="M21" s="69"/>
      <c r="N21" s="69"/>
      <c r="O21" s="69"/>
      <c r="P21" s="69"/>
      <c r="Q21" s="69"/>
      <c r="R21" s="69"/>
    </row>
    <row r="22" spans="1:18" s="52" customFormat="1" ht="36.6" customHeight="1" x14ac:dyDescent="0.25">
      <c r="A22" s="61" t="s">
        <v>144</v>
      </c>
      <c r="B22" s="68" t="s">
        <v>145</v>
      </c>
      <c r="C22" s="72" t="s">
        <v>146</v>
      </c>
      <c r="D22" s="72" t="s">
        <v>147</v>
      </c>
      <c r="E22" s="72" t="s">
        <v>148</v>
      </c>
      <c r="F22" s="86" t="s">
        <v>149</v>
      </c>
      <c r="G22" s="45" t="s">
        <v>28</v>
      </c>
      <c r="H22" s="70"/>
      <c r="I22" s="70"/>
      <c r="J22" s="70"/>
      <c r="K22" s="45" t="s">
        <v>28</v>
      </c>
      <c r="L22" s="70"/>
      <c r="M22" s="70"/>
      <c r="N22" s="70"/>
      <c r="O22" s="70"/>
      <c r="P22" s="70"/>
      <c r="Q22" s="70"/>
      <c r="R22" s="70"/>
    </row>
    <row r="23" spans="1:18" ht="43.2" customHeight="1" x14ac:dyDescent="0.25">
      <c r="A23" s="61" t="s">
        <v>150</v>
      </c>
      <c r="B23" s="68" t="s">
        <v>151</v>
      </c>
      <c r="C23" s="68" t="s">
        <v>152</v>
      </c>
      <c r="D23" s="68" t="s">
        <v>147</v>
      </c>
      <c r="E23" s="68" t="s">
        <v>153</v>
      </c>
      <c r="F23" s="96" t="s">
        <v>149</v>
      </c>
      <c r="G23" s="45" t="s">
        <v>28</v>
      </c>
      <c r="H23" s="69"/>
      <c r="I23" s="69"/>
      <c r="J23" s="69"/>
      <c r="K23" s="45" t="s">
        <v>28</v>
      </c>
      <c r="L23" s="69"/>
      <c r="M23" s="69"/>
      <c r="N23" s="69"/>
      <c r="O23" s="69"/>
      <c r="P23" s="69"/>
      <c r="Q23" s="69"/>
      <c r="R23" s="69"/>
    </row>
    <row r="24" spans="1:18" ht="43.2" customHeight="1" x14ac:dyDescent="0.25">
      <c r="A24" s="61" t="s">
        <v>154</v>
      </c>
      <c r="B24" s="68" t="s">
        <v>155</v>
      </c>
      <c r="C24" s="68" t="s">
        <v>156</v>
      </c>
      <c r="D24" s="68" t="s">
        <v>157</v>
      </c>
      <c r="E24" s="68" t="s">
        <v>158</v>
      </c>
      <c r="F24" s="96" t="s">
        <v>101</v>
      </c>
      <c r="G24" s="45" t="s">
        <v>28</v>
      </c>
      <c r="H24" s="69"/>
      <c r="I24" s="69"/>
      <c r="J24" s="69"/>
      <c r="K24" s="45" t="s">
        <v>28</v>
      </c>
      <c r="L24" s="69"/>
      <c r="M24" s="69"/>
      <c r="N24" s="69"/>
      <c r="O24" s="69"/>
      <c r="P24" s="69"/>
      <c r="Q24" s="69"/>
      <c r="R24" s="69"/>
    </row>
    <row r="25" spans="1:18" ht="28.8" customHeight="1" x14ac:dyDescent="0.25">
      <c r="A25" s="42" t="s">
        <v>159</v>
      </c>
      <c r="B25" s="65" t="s">
        <v>160</v>
      </c>
      <c r="C25" s="65" t="s">
        <v>161</v>
      </c>
      <c r="D25" s="65" t="s">
        <v>162</v>
      </c>
      <c r="E25" s="85" t="s">
        <v>163</v>
      </c>
      <c r="F25" s="68" t="s">
        <v>164</v>
      </c>
      <c r="G25" s="45" t="s">
        <v>28</v>
      </c>
      <c r="H25" s="69"/>
      <c r="I25" s="69"/>
      <c r="J25" s="69"/>
      <c r="K25" s="45" t="s">
        <v>28</v>
      </c>
      <c r="L25" s="69"/>
      <c r="M25" s="69"/>
      <c r="N25" s="69"/>
      <c r="O25" s="69"/>
      <c r="P25" s="69"/>
      <c r="Q25" s="69"/>
      <c r="R25" s="69"/>
    </row>
    <row r="26" spans="1:18" s="81" customFormat="1" ht="14.4" customHeight="1" x14ac:dyDescent="0.25">
      <c r="A26" s="80"/>
      <c r="B26" s="135" t="s">
        <v>165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47"/>
    </row>
    <row r="27" spans="1:18" ht="43.2" customHeight="1" x14ac:dyDescent="0.25">
      <c r="A27" s="47" t="s">
        <v>166</v>
      </c>
      <c r="B27" s="47" t="s">
        <v>167</v>
      </c>
      <c r="C27" s="47" t="s">
        <v>168</v>
      </c>
      <c r="D27" s="47" t="s">
        <v>169</v>
      </c>
      <c r="E27" s="61" t="s">
        <v>170</v>
      </c>
      <c r="F27" s="68"/>
      <c r="G27" s="45" t="s">
        <v>28</v>
      </c>
      <c r="H27" s="69"/>
      <c r="I27" s="69"/>
      <c r="J27" s="69"/>
      <c r="K27" s="45" t="s">
        <v>28</v>
      </c>
      <c r="L27" s="69"/>
      <c r="M27" s="69"/>
      <c r="N27" s="69"/>
      <c r="O27" s="69"/>
      <c r="P27" s="69"/>
      <c r="Q27" s="69"/>
      <c r="R27" s="69"/>
    </row>
    <row r="28" spans="1:18" ht="43.2" customHeight="1" x14ac:dyDescent="0.25">
      <c r="A28" s="42" t="s">
        <v>171</v>
      </c>
      <c r="B28" s="42" t="s">
        <v>172</v>
      </c>
      <c r="C28" s="42" t="s">
        <v>173</v>
      </c>
      <c r="D28" s="42" t="s">
        <v>174</v>
      </c>
      <c r="E28" s="61" t="s">
        <v>175</v>
      </c>
      <c r="F28" s="68"/>
      <c r="G28" s="45" t="s">
        <v>28</v>
      </c>
      <c r="H28" s="69"/>
      <c r="I28" s="69"/>
      <c r="J28" s="69"/>
      <c r="K28" s="45" t="s">
        <v>28</v>
      </c>
      <c r="L28" s="69"/>
      <c r="M28" s="69"/>
      <c r="N28" s="69"/>
      <c r="O28" s="69"/>
      <c r="P28" s="69"/>
      <c r="Q28" s="69"/>
      <c r="R28" s="69"/>
    </row>
    <row r="29" spans="1:18" ht="57.6" customHeight="1" x14ac:dyDescent="0.25">
      <c r="A29" s="42" t="s">
        <v>176</v>
      </c>
      <c r="B29" s="42" t="s">
        <v>177</v>
      </c>
      <c r="C29" s="42" t="s">
        <v>178</v>
      </c>
      <c r="D29" s="42" t="s">
        <v>179</v>
      </c>
      <c r="E29" s="42" t="s">
        <v>180</v>
      </c>
      <c r="F29" s="65"/>
      <c r="G29" s="66" t="s">
        <v>28</v>
      </c>
      <c r="H29" s="67"/>
      <c r="I29" s="67"/>
      <c r="J29" s="67"/>
      <c r="K29" s="66" t="s">
        <v>28</v>
      </c>
      <c r="L29" s="67"/>
      <c r="M29" s="67"/>
      <c r="N29" s="67"/>
      <c r="O29" s="67"/>
      <c r="P29" s="67"/>
      <c r="Q29" s="67"/>
      <c r="R29" s="67"/>
    </row>
    <row r="30" spans="1:18" ht="57.6" customHeight="1" x14ac:dyDescent="0.25">
      <c r="A30" s="42" t="s">
        <v>181</v>
      </c>
      <c r="B30" s="42" t="s">
        <v>182</v>
      </c>
      <c r="C30" s="42" t="s">
        <v>183</v>
      </c>
      <c r="D30" s="42" t="s">
        <v>184</v>
      </c>
      <c r="E30" s="42" t="s">
        <v>185</v>
      </c>
      <c r="F30" s="42"/>
      <c r="G30" s="45" t="s">
        <v>28</v>
      </c>
      <c r="H30" s="43"/>
      <c r="I30" s="43"/>
      <c r="J30" s="43"/>
      <c r="K30" s="45" t="s">
        <v>28</v>
      </c>
      <c r="L30" s="43"/>
      <c r="M30" s="43"/>
      <c r="N30" s="43"/>
      <c r="O30" s="43"/>
      <c r="P30" s="43"/>
      <c r="Q30" s="43"/>
      <c r="R30" s="43"/>
    </row>
    <row r="31" spans="1:18" ht="28.8" customHeight="1" x14ac:dyDescent="0.25">
      <c r="A31" s="42" t="s">
        <v>186</v>
      </c>
      <c r="B31" s="42" t="s">
        <v>187</v>
      </c>
      <c r="C31" s="42" t="s">
        <v>188</v>
      </c>
      <c r="D31" s="42" t="s">
        <v>189</v>
      </c>
      <c r="E31" s="42" t="s">
        <v>190</v>
      </c>
      <c r="F31" s="42" t="s">
        <v>191</v>
      </c>
      <c r="G31" s="45" t="s">
        <v>28</v>
      </c>
      <c r="H31" s="43"/>
      <c r="I31" s="43"/>
      <c r="J31" s="43"/>
      <c r="K31" s="45" t="s">
        <v>28</v>
      </c>
      <c r="L31" s="43"/>
      <c r="M31" s="43"/>
      <c r="N31" s="43"/>
      <c r="O31" s="43"/>
      <c r="P31" s="43"/>
      <c r="Q31" s="43"/>
      <c r="R31" s="43"/>
    </row>
    <row r="32" spans="1:18" ht="28.8" customHeight="1" x14ac:dyDescent="0.25">
      <c r="A32" s="42" t="s">
        <v>192</v>
      </c>
      <c r="B32" s="42" t="s">
        <v>193</v>
      </c>
      <c r="C32" s="42" t="s">
        <v>194</v>
      </c>
      <c r="D32" s="42" t="s">
        <v>195</v>
      </c>
      <c r="E32" s="42" t="s">
        <v>196</v>
      </c>
      <c r="F32" s="42" t="s">
        <v>197</v>
      </c>
      <c r="G32" s="45" t="s">
        <v>28</v>
      </c>
      <c r="H32" s="43"/>
      <c r="I32" s="43"/>
      <c r="J32" s="43"/>
      <c r="K32" s="45" t="s">
        <v>28</v>
      </c>
      <c r="L32" s="43"/>
      <c r="M32" s="43"/>
      <c r="N32" s="43"/>
      <c r="O32" s="43"/>
      <c r="P32" s="43"/>
      <c r="Q32" s="43"/>
      <c r="R32" s="43"/>
    </row>
    <row r="33" spans="1:18" ht="43.2" customHeight="1" x14ac:dyDescent="0.25">
      <c r="A33" s="42" t="s">
        <v>198</v>
      </c>
      <c r="B33" s="42" t="s">
        <v>199</v>
      </c>
      <c r="C33" s="42" t="s">
        <v>200</v>
      </c>
      <c r="D33" s="42" t="s">
        <v>201</v>
      </c>
      <c r="E33" s="42" t="s">
        <v>202</v>
      </c>
      <c r="F33" s="42" t="s">
        <v>203</v>
      </c>
      <c r="G33" s="45" t="s">
        <v>28</v>
      </c>
      <c r="H33" s="43"/>
      <c r="I33" s="43"/>
      <c r="J33" s="43"/>
      <c r="K33" s="45" t="s">
        <v>28</v>
      </c>
      <c r="L33" s="43"/>
      <c r="M33" s="43"/>
      <c r="N33" s="43"/>
      <c r="O33" s="43"/>
      <c r="P33" s="43"/>
      <c r="Q33" s="43"/>
      <c r="R33" s="43"/>
    </row>
    <row r="34" spans="1:18" ht="28.8" customHeight="1" x14ac:dyDescent="0.25">
      <c r="A34" s="42" t="s">
        <v>204</v>
      </c>
      <c r="B34" s="42" t="s">
        <v>205</v>
      </c>
      <c r="C34" s="42" t="s">
        <v>206</v>
      </c>
      <c r="D34" s="42" t="s">
        <v>207</v>
      </c>
      <c r="E34" s="42" t="s">
        <v>208</v>
      </c>
      <c r="F34" s="42" t="s">
        <v>209</v>
      </c>
      <c r="G34" s="45" t="s">
        <v>28</v>
      </c>
      <c r="H34" s="43"/>
      <c r="I34" s="43"/>
      <c r="J34" s="43"/>
      <c r="K34" s="45" t="s">
        <v>28</v>
      </c>
      <c r="L34" s="43"/>
      <c r="M34" s="43"/>
      <c r="N34" s="43"/>
      <c r="O34" s="43"/>
      <c r="P34" s="43"/>
      <c r="Q34" s="43"/>
      <c r="R34" s="43"/>
    </row>
    <row r="35" spans="1:18" ht="28.8" customHeight="1" x14ac:dyDescent="0.25">
      <c r="A35" s="42" t="s">
        <v>210</v>
      </c>
      <c r="B35" s="42" t="s">
        <v>211</v>
      </c>
      <c r="C35" s="42" t="s">
        <v>212</v>
      </c>
      <c r="D35" s="42" t="s">
        <v>213</v>
      </c>
      <c r="E35" s="42" t="s">
        <v>214</v>
      </c>
      <c r="F35" s="42" t="s">
        <v>215</v>
      </c>
      <c r="G35" s="45" t="s">
        <v>28</v>
      </c>
      <c r="H35" s="43"/>
      <c r="I35" s="43"/>
      <c r="J35" s="43"/>
      <c r="K35" s="45" t="s">
        <v>28</v>
      </c>
      <c r="L35" s="43"/>
      <c r="M35" s="43"/>
      <c r="N35" s="43"/>
      <c r="O35" s="43"/>
      <c r="P35" s="43"/>
      <c r="Q35" s="43"/>
      <c r="R35" s="43"/>
    </row>
    <row r="36" spans="1:18" ht="43.2" customHeight="1" x14ac:dyDescent="0.25">
      <c r="A36" s="42" t="s">
        <v>216</v>
      </c>
      <c r="B36" s="42" t="s">
        <v>217</v>
      </c>
      <c r="C36" s="42" t="s">
        <v>218</v>
      </c>
      <c r="D36" s="42" t="s">
        <v>219</v>
      </c>
      <c r="E36" s="42" t="s">
        <v>220</v>
      </c>
      <c r="F36" s="42"/>
      <c r="G36" s="45" t="s">
        <v>28</v>
      </c>
      <c r="H36" s="43"/>
      <c r="I36" s="43"/>
      <c r="J36" s="43"/>
      <c r="K36" s="45" t="s">
        <v>28</v>
      </c>
      <c r="L36" s="43"/>
      <c r="M36" s="43"/>
      <c r="N36" s="43"/>
      <c r="O36" s="43"/>
      <c r="P36" s="43"/>
      <c r="Q36" s="43"/>
      <c r="R36" s="43"/>
    </row>
    <row r="37" spans="1:18" ht="57.6" customHeight="1" x14ac:dyDescent="0.25">
      <c r="A37" s="42" t="s">
        <v>221</v>
      </c>
      <c r="B37" s="42" t="s">
        <v>222</v>
      </c>
      <c r="C37" s="42" t="s">
        <v>223</v>
      </c>
      <c r="D37" s="42" t="s">
        <v>224</v>
      </c>
      <c r="E37" s="42" t="s">
        <v>225</v>
      </c>
      <c r="F37" s="42" t="s">
        <v>164</v>
      </c>
      <c r="G37" s="45" t="s">
        <v>28</v>
      </c>
      <c r="H37" s="43"/>
      <c r="I37" s="43"/>
      <c r="J37" s="43"/>
      <c r="K37" s="45" t="s">
        <v>28</v>
      </c>
      <c r="L37" s="43"/>
      <c r="M37" s="43"/>
      <c r="N37" s="43"/>
      <c r="O37" s="43"/>
      <c r="P37" s="43"/>
      <c r="Q37" s="43"/>
      <c r="R37" s="43"/>
    </row>
    <row r="38" spans="1:18" ht="43.2" customHeight="1" x14ac:dyDescent="0.25">
      <c r="A38" s="42" t="s">
        <v>226</v>
      </c>
      <c r="B38" s="42" t="s">
        <v>227</v>
      </c>
      <c r="C38" s="42" t="s">
        <v>228</v>
      </c>
      <c r="D38" s="42" t="s">
        <v>229</v>
      </c>
      <c r="E38" s="42" t="s">
        <v>230</v>
      </c>
      <c r="F38" s="42" t="s">
        <v>231</v>
      </c>
      <c r="G38" s="45" t="s">
        <v>28</v>
      </c>
      <c r="H38" s="43"/>
      <c r="I38" s="43"/>
      <c r="J38" s="43"/>
      <c r="K38" s="45" t="s">
        <v>28</v>
      </c>
      <c r="L38" s="43"/>
      <c r="M38" s="43"/>
      <c r="N38" s="43"/>
      <c r="O38" s="43"/>
      <c r="P38" s="43"/>
      <c r="Q38" s="43"/>
      <c r="R38" s="43"/>
    </row>
    <row r="39" spans="1:18" ht="43.2" customHeight="1" x14ac:dyDescent="0.25">
      <c r="A39" s="42" t="s">
        <v>232</v>
      </c>
      <c r="B39" s="42" t="s">
        <v>233</v>
      </c>
      <c r="C39" s="42" t="s">
        <v>234</v>
      </c>
      <c r="D39" s="42" t="s">
        <v>224</v>
      </c>
      <c r="E39" s="42" t="s">
        <v>235</v>
      </c>
      <c r="F39" s="42" t="s">
        <v>236</v>
      </c>
      <c r="G39" s="45" t="s">
        <v>28</v>
      </c>
      <c r="H39" s="43"/>
      <c r="I39" s="43"/>
      <c r="J39" s="43"/>
      <c r="K39" s="45" t="s">
        <v>28</v>
      </c>
      <c r="L39" s="43"/>
      <c r="M39" s="43"/>
      <c r="N39" s="43"/>
      <c r="O39" s="43"/>
      <c r="P39" s="43"/>
      <c r="Q39" s="43"/>
      <c r="R39" s="43"/>
    </row>
    <row r="40" spans="1:18" ht="72" customHeight="1" x14ac:dyDescent="0.25">
      <c r="A40" s="42" t="s">
        <v>237</v>
      </c>
      <c r="B40" s="42" t="s">
        <v>238</v>
      </c>
      <c r="C40" s="42" t="s">
        <v>239</v>
      </c>
      <c r="D40" s="42" t="s">
        <v>224</v>
      </c>
      <c r="E40" s="42" t="s">
        <v>240</v>
      </c>
      <c r="F40" s="42" t="s">
        <v>236</v>
      </c>
      <c r="G40" s="45" t="s">
        <v>28</v>
      </c>
      <c r="H40" s="43"/>
      <c r="I40" s="43"/>
      <c r="J40" s="43"/>
      <c r="K40" s="45" t="s">
        <v>28</v>
      </c>
      <c r="L40" s="43"/>
      <c r="M40" s="43"/>
      <c r="N40" s="43"/>
      <c r="O40" s="43"/>
      <c r="P40" s="43"/>
      <c r="Q40" s="43"/>
      <c r="R40" s="43"/>
    </row>
    <row r="41" spans="1:18" ht="43.2" customHeight="1" x14ac:dyDescent="0.25">
      <c r="A41" s="42" t="s">
        <v>241</v>
      </c>
      <c r="B41" s="42" t="s">
        <v>242</v>
      </c>
      <c r="C41" s="42" t="s">
        <v>243</v>
      </c>
      <c r="D41" s="42" t="s">
        <v>244</v>
      </c>
      <c r="E41" s="42" t="s">
        <v>245</v>
      </c>
      <c r="F41" s="42" t="s">
        <v>236</v>
      </c>
      <c r="G41" s="45" t="s">
        <v>28</v>
      </c>
      <c r="H41" s="43"/>
      <c r="I41" s="43"/>
      <c r="J41" s="43"/>
      <c r="K41" s="45" t="s">
        <v>28</v>
      </c>
      <c r="L41" s="43"/>
      <c r="M41" s="43"/>
      <c r="N41" s="43"/>
      <c r="O41" s="43"/>
      <c r="P41" s="43"/>
      <c r="Q41" s="43"/>
      <c r="R41" s="43"/>
    </row>
    <row r="42" spans="1:18" ht="72" customHeight="1" x14ac:dyDescent="0.25">
      <c r="A42" s="42" t="s">
        <v>246</v>
      </c>
      <c r="B42" s="42" t="s">
        <v>247</v>
      </c>
      <c r="C42" s="42" t="s">
        <v>248</v>
      </c>
      <c r="D42" s="42" t="s">
        <v>249</v>
      </c>
      <c r="E42" s="42" t="s">
        <v>250</v>
      </c>
      <c r="F42" s="42" t="s">
        <v>96</v>
      </c>
      <c r="G42" s="45" t="s">
        <v>28</v>
      </c>
      <c r="H42" s="43"/>
      <c r="I42" s="43"/>
      <c r="J42" s="43"/>
      <c r="K42" s="45" t="s">
        <v>28</v>
      </c>
      <c r="L42" s="43"/>
      <c r="M42" s="43"/>
      <c r="N42" s="43"/>
      <c r="O42" s="43"/>
      <c r="P42" s="43"/>
      <c r="Q42" s="43"/>
      <c r="R42" s="43"/>
    </row>
    <row r="43" spans="1:18" ht="43.2" customHeight="1" x14ac:dyDescent="0.25">
      <c r="A43" s="42" t="s">
        <v>251</v>
      </c>
      <c r="B43" s="42" t="s">
        <v>252</v>
      </c>
      <c r="C43" s="42" t="s">
        <v>253</v>
      </c>
      <c r="D43" s="42" t="s">
        <v>254</v>
      </c>
      <c r="E43" s="42" t="s">
        <v>255</v>
      </c>
      <c r="F43" s="42"/>
      <c r="G43" s="45" t="s">
        <v>28</v>
      </c>
      <c r="H43" s="43"/>
      <c r="I43" s="43"/>
      <c r="J43" s="43"/>
      <c r="K43" s="45" t="s">
        <v>28</v>
      </c>
      <c r="L43" s="43"/>
      <c r="M43" s="43"/>
      <c r="N43" s="43"/>
      <c r="O43" s="43"/>
      <c r="P43" s="43"/>
      <c r="Q43" s="43"/>
      <c r="R43" s="43"/>
    </row>
    <row r="44" spans="1:18" ht="43.2" customHeight="1" x14ac:dyDescent="0.25">
      <c r="A44" s="42" t="s">
        <v>256</v>
      </c>
      <c r="B44" s="42" t="s">
        <v>257</v>
      </c>
      <c r="C44" s="42" t="s">
        <v>93</v>
      </c>
      <c r="D44" s="42" t="s">
        <v>258</v>
      </c>
      <c r="E44" s="42" t="s">
        <v>259</v>
      </c>
      <c r="F44" s="42" t="s">
        <v>260</v>
      </c>
      <c r="G44" s="45" t="s">
        <v>28</v>
      </c>
      <c r="H44" s="43"/>
      <c r="I44" s="43"/>
      <c r="J44" s="43"/>
      <c r="K44" s="45" t="s">
        <v>28</v>
      </c>
      <c r="L44" s="43"/>
      <c r="M44" s="43"/>
      <c r="N44" s="43"/>
      <c r="O44" s="43"/>
      <c r="P44" s="43"/>
      <c r="Q44" s="43"/>
      <c r="R44" s="43"/>
    </row>
    <row r="45" spans="1:18" ht="43.2" customHeight="1" x14ac:dyDescent="0.25">
      <c r="A45" s="42" t="s">
        <v>261</v>
      </c>
      <c r="B45" s="42" t="s">
        <v>262</v>
      </c>
      <c r="C45" s="42" t="s">
        <v>93</v>
      </c>
      <c r="D45" s="42" t="s">
        <v>263</v>
      </c>
      <c r="E45" s="42" t="s">
        <v>264</v>
      </c>
      <c r="F45" s="42"/>
      <c r="G45" s="45" t="s">
        <v>28</v>
      </c>
      <c r="H45" s="43"/>
      <c r="I45" s="43"/>
      <c r="J45" s="43"/>
      <c r="K45" s="45" t="s">
        <v>28</v>
      </c>
      <c r="L45" s="43"/>
      <c r="M45" s="43"/>
      <c r="N45" s="43"/>
      <c r="O45" s="43"/>
      <c r="P45" s="43"/>
      <c r="Q45" s="43"/>
      <c r="R45" s="43"/>
    </row>
    <row r="46" spans="1:18" ht="43.2" customHeight="1" x14ac:dyDescent="0.25">
      <c r="A46" s="42" t="s">
        <v>265</v>
      </c>
      <c r="B46" s="42" t="s">
        <v>266</v>
      </c>
      <c r="C46" s="42" t="s">
        <v>267</v>
      </c>
      <c r="D46" s="42" t="s">
        <v>268</v>
      </c>
      <c r="E46" s="42" t="s">
        <v>269</v>
      </c>
      <c r="F46" s="42"/>
      <c r="G46" s="45" t="s">
        <v>28</v>
      </c>
      <c r="H46" s="43"/>
      <c r="I46" s="43"/>
      <c r="J46" s="43"/>
      <c r="K46" s="45" t="s">
        <v>28</v>
      </c>
      <c r="L46" s="43"/>
      <c r="M46" s="43"/>
      <c r="N46" s="43"/>
      <c r="O46" s="43"/>
      <c r="P46" s="43"/>
      <c r="Q46" s="43"/>
      <c r="R46" s="43"/>
    </row>
    <row r="47" spans="1:18" ht="43.2" customHeight="1" x14ac:dyDescent="0.25">
      <c r="A47" s="42" t="s">
        <v>270</v>
      </c>
      <c r="B47" s="42" t="s">
        <v>271</v>
      </c>
      <c r="C47" s="42" t="s">
        <v>248</v>
      </c>
      <c r="D47" s="42" t="s">
        <v>272</v>
      </c>
      <c r="E47" s="42" t="s">
        <v>273</v>
      </c>
      <c r="F47" s="42" t="s">
        <v>274</v>
      </c>
      <c r="G47" s="45" t="s">
        <v>28</v>
      </c>
      <c r="H47" s="43"/>
      <c r="I47" s="43"/>
      <c r="J47" s="43"/>
      <c r="K47" s="45" t="s">
        <v>28</v>
      </c>
      <c r="L47" s="43"/>
      <c r="M47" s="43"/>
      <c r="N47" s="43"/>
      <c r="O47" s="43"/>
      <c r="P47" s="43"/>
      <c r="Q47" s="43"/>
      <c r="R47" s="43"/>
    </row>
    <row r="48" spans="1:18" ht="43.2" customHeight="1" x14ac:dyDescent="0.25">
      <c r="A48" s="42" t="s">
        <v>275</v>
      </c>
      <c r="B48" s="42" t="s">
        <v>276</v>
      </c>
      <c r="C48" s="42" t="s">
        <v>93</v>
      </c>
      <c r="D48" s="42" t="s">
        <v>277</v>
      </c>
      <c r="E48" s="42" t="s">
        <v>278</v>
      </c>
      <c r="F48" s="42" t="s">
        <v>274</v>
      </c>
      <c r="G48" s="45" t="s">
        <v>28</v>
      </c>
      <c r="H48" s="43"/>
      <c r="I48" s="43"/>
      <c r="J48" s="43"/>
      <c r="K48" s="45" t="s">
        <v>28</v>
      </c>
      <c r="L48" s="43"/>
      <c r="M48" s="43"/>
      <c r="N48" s="43"/>
      <c r="O48" s="43"/>
      <c r="P48" s="43"/>
      <c r="Q48" s="43"/>
      <c r="R48" s="43"/>
    </row>
    <row r="49" spans="1:18" ht="43.2" customHeight="1" x14ac:dyDescent="0.25">
      <c r="A49" s="42" t="s">
        <v>279</v>
      </c>
      <c r="B49" s="42" t="s">
        <v>280</v>
      </c>
      <c r="C49" s="42" t="s">
        <v>93</v>
      </c>
      <c r="D49" s="42" t="s">
        <v>281</v>
      </c>
      <c r="E49" s="42" t="s">
        <v>282</v>
      </c>
      <c r="F49" s="42" t="s">
        <v>274</v>
      </c>
      <c r="G49" s="45" t="s">
        <v>28</v>
      </c>
      <c r="H49" s="43"/>
      <c r="I49" s="43"/>
      <c r="J49" s="43"/>
      <c r="K49" s="45" t="s">
        <v>28</v>
      </c>
      <c r="L49" s="43"/>
      <c r="M49" s="43"/>
      <c r="N49" s="43"/>
      <c r="O49" s="43"/>
      <c r="P49" s="43"/>
      <c r="Q49" s="43"/>
      <c r="R49" s="43"/>
    </row>
    <row r="50" spans="1:18" ht="43.2" customHeight="1" x14ac:dyDescent="0.25">
      <c r="A50" s="42" t="s">
        <v>283</v>
      </c>
      <c r="B50" s="42" t="s">
        <v>284</v>
      </c>
      <c r="C50" s="42" t="s">
        <v>285</v>
      </c>
      <c r="D50" s="42" t="s">
        <v>286</v>
      </c>
      <c r="E50" s="42" t="s">
        <v>287</v>
      </c>
      <c r="F50" s="42" t="s">
        <v>274</v>
      </c>
      <c r="G50" s="45" t="s">
        <v>28</v>
      </c>
      <c r="H50" s="43"/>
      <c r="I50" s="43"/>
      <c r="J50" s="43"/>
      <c r="K50" s="45" t="s">
        <v>28</v>
      </c>
      <c r="L50" s="43"/>
      <c r="M50" s="43"/>
      <c r="N50" s="43"/>
      <c r="O50" s="43"/>
      <c r="P50" s="43"/>
      <c r="Q50" s="43"/>
      <c r="R50" s="43"/>
    </row>
    <row r="51" spans="1:18" ht="43.2" customHeight="1" x14ac:dyDescent="0.25">
      <c r="A51" s="42" t="s">
        <v>288</v>
      </c>
      <c r="B51" s="42" t="s">
        <v>289</v>
      </c>
      <c r="C51" s="42" t="s">
        <v>93</v>
      </c>
      <c r="D51" s="42" t="s">
        <v>290</v>
      </c>
      <c r="E51" s="42" t="s">
        <v>291</v>
      </c>
      <c r="F51" s="42" t="s">
        <v>292</v>
      </c>
      <c r="G51" s="45" t="s">
        <v>28</v>
      </c>
      <c r="H51" s="43"/>
      <c r="I51" s="43"/>
      <c r="J51" s="43"/>
      <c r="K51" s="45" t="s">
        <v>28</v>
      </c>
      <c r="L51" s="43"/>
      <c r="M51" s="43"/>
      <c r="N51" s="43"/>
      <c r="O51" s="43"/>
      <c r="P51" s="43"/>
      <c r="Q51" s="43"/>
      <c r="R51" s="43"/>
    </row>
    <row r="52" spans="1:18" ht="28.8" customHeight="1" x14ac:dyDescent="0.25">
      <c r="A52" s="42" t="s">
        <v>293</v>
      </c>
      <c r="B52" s="42" t="s">
        <v>294</v>
      </c>
      <c r="C52" s="42" t="s">
        <v>295</v>
      </c>
      <c r="D52" s="42" t="s">
        <v>296</v>
      </c>
      <c r="E52" s="42" t="s">
        <v>297</v>
      </c>
      <c r="F52" s="42" t="s">
        <v>298</v>
      </c>
      <c r="G52" s="45" t="s">
        <v>28</v>
      </c>
      <c r="H52" s="43"/>
      <c r="I52" s="43"/>
      <c r="J52" s="43"/>
      <c r="K52" s="45" t="s">
        <v>28</v>
      </c>
      <c r="L52" s="43"/>
      <c r="M52" s="43"/>
      <c r="N52" s="43"/>
      <c r="O52" s="43"/>
      <c r="P52" s="43"/>
      <c r="Q52" s="43"/>
      <c r="R52" s="43"/>
    </row>
    <row r="53" spans="1:18" ht="43.2" customHeight="1" x14ac:dyDescent="0.25">
      <c r="A53" s="42" t="s">
        <v>299</v>
      </c>
      <c r="B53" s="42" t="s">
        <v>300</v>
      </c>
      <c r="C53" s="42" t="s">
        <v>93</v>
      </c>
      <c r="D53" s="42" t="s">
        <v>301</v>
      </c>
      <c r="E53" s="42" t="s">
        <v>302</v>
      </c>
      <c r="F53" s="42" t="s">
        <v>303</v>
      </c>
      <c r="G53" s="45" t="s">
        <v>28</v>
      </c>
      <c r="H53" s="43"/>
      <c r="I53" s="43"/>
      <c r="J53" s="43"/>
      <c r="K53" s="45" t="s">
        <v>28</v>
      </c>
      <c r="L53" s="43"/>
      <c r="M53" s="43"/>
      <c r="N53" s="43"/>
      <c r="O53" s="43"/>
      <c r="P53" s="43"/>
      <c r="Q53" s="43"/>
      <c r="R53" s="43"/>
    </row>
    <row r="54" spans="1:18" ht="57.6" customHeight="1" x14ac:dyDescent="0.25">
      <c r="A54" s="42" t="s">
        <v>304</v>
      </c>
      <c r="B54" s="42" t="s">
        <v>305</v>
      </c>
      <c r="C54" s="42" t="s">
        <v>306</v>
      </c>
      <c r="D54" s="42" t="s">
        <v>307</v>
      </c>
      <c r="E54" s="42" t="s">
        <v>308</v>
      </c>
      <c r="F54" s="42" t="s">
        <v>309</v>
      </c>
      <c r="G54" s="45" t="s">
        <v>28</v>
      </c>
      <c r="H54" s="43"/>
      <c r="I54" s="43"/>
      <c r="J54" s="43"/>
      <c r="K54" s="45" t="s">
        <v>28</v>
      </c>
      <c r="L54" s="43"/>
      <c r="M54" s="43"/>
      <c r="N54" s="43"/>
      <c r="O54" s="43"/>
      <c r="P54" s="43"/>
      <c r="Q54" s="43"/>
      <c r="R54" s="43"/>
    </row>
    <row r="55" spans="1:18" ht="43.2" customHeight="1" x14ac:dyDescent="0.25">
      <c r="A55" s="42" t="s">
        <v>310</v>
      </c>
      <c r="B55" s="42" t="s">
        <v>311</v>
      </c>
      <c r="C55" s="42" t="s">
        <v>93</v>
      </c>
      <c r="D55" s="42" t="s">
        <v>312</v>
      </c>
      <c r="E55" s="42" t="s">
        <v>313</v>
      </c>
      <c r="F55" s="42" t="s">
        <v>164</v>
      </c>
      <c r="G55" s="45" t="s">
        <v>28</v>
      </c>
      <c r="H55" s="43"/>
      <c r="I55" s="43"/>
      <c r="J55" s="43"/>
      <c r="K55" s="45" t="s">
        <v>28</v>
      </c>
      <c r="L55" s="43"/>
      <c r="M55" s="43"/>
      <c r="N55" s="43"/>
      <c r="O55" s="43"/>
      <c r="P55" s="43"/>
      <c r="Q55" s="43"/>
      <c r="R55" s="43"/>
    </row>
    <row r="56" spans="1:18" ht="43.2" customHeight="1" x14ac:dyDescent="0.25">
      <c r="A56" s="42" t="s">
        <v>314</v>
      </c>
      <c r="B56" s="42" t="s">
        <v>315</v>
      </c>
      <c r="C56" s="42" t="s">
        <v>316</v>
      </c>
      <c r="D56" s="42" t="s">
        <v>317</v>
      </c>
      <c r="E56" s="42" t="s">
        <v>318</v>
      </c>
      <c r="F56" s="42"/>
      <c r="G56" s="45" t="s">
        <v>28</v>
      </c>
      <c r="H56" s="43"/>
      <c r="I56" s="43"/>
      <c r="J56" s="43"/>
      <c r="K56" s="45" t="s">
        <v>28</v>
      </c>
      <c r="L56" s="43"/>
      <c r="M56" s="43"/>
      <c r="N56" s="43"/>
      <c r="O56" s="43"/>
      <c r="P56" s="43"/>
      <c r="Q56" s="43"/>
      <c r="R56" s="43"/>
    </row>
    <row r="57" spans="1:18" ht="43.2" customHeight="1" x14ac:dyDescent="0.25">
      <c r="A57" s="42" t="s">
        <v>319</v>
      </c>
      <c r="B57" s="42" t="s">
        <v>320</v>
      </c>
      <c r="C57" s="42" t="s">
        <v>93</v>
      </c>
      <c r="D57" s="42" t="s">
        <v>321</v>
      </c>
      <c r="E57" s="42" t="s">
        <v>322</v>
      </c>
      <c r="F57" s="42" t="s">
        <v>323</v>
      </c>
      <c r="G57" s="45" t="s">
        <v>28</v>
      </c>
      <c r="H57" s="43"/>
      <c r="I57" s="43"/>
      <c r="J57" s="43"/>
      <c r="K57" s="45" t="s">
        <v>28</v>
      </c>
      <c r="L57" s="43"/>
      <c r="M57" s="43"/>
      <c r="N57" s="43"/>
      <c r="O57" s="43"/>
      <c r="P57" s="43"/>
      <c r="Q57" s="43"/>
      <c r="R57" s="43"/>
    </row>
    <row r="58" spans="1:18" ht="57.6" customHeight="1" x14ac:dyDescent="0.25">
      <c r="A58" s="42" t="s">
        <v>324</v>
      </c>
      <c r="B58" s="42" t="s">
        <v>325</v>
      </c>
      <c r="C58" s="42" t="s">
        <v>326</v>
      </c>
      <c r="D58" s="42" t="s">
        <v>327</v>
      </c>
      <c r="E58" s="42" t="s">
        <v>328</v>
      </c>
      <c r="F58" s="42" t="s">
        <v>329</v>
      </c>
      <c r="G58" s="45" t="s">
        <v>28</v>
      </c>
      <c r="H58" s="43"/>
      <c r="I58" s="43"/>
      <c r="J58" s="43"/>
      <c r="K58" s="45" t="s">
        <v>28</v>
      </c>
      <c r="L58" s="43"/>
      <c r="M58" s="43"/>
      <c r="N58" s="43"/>
      <c r="O58" s="43"/>
      <c r="P58" s="43"/>
      <c r="Q58" s="43"/>
      <c r="R58" s="43"/>
    </row>
    <row r="59" spans="1:18" ht="43.2" customHeight="1" x14ac:dyDescent="0.25">
      <c r="A59" s="42" t="s">
        <v>330</v>
      </c>
      <c r="B59" s="42" t="s">
        <v>331</v>
      </c>
      <c r="C59" s="42" t="s">
        <v>332</v>
      </c>
      <c r="D59" s="42" t="s">
        <v>333</v>
      </c>
      <c r="E59" s="42" t="s">
        <v>334</v>
      </c>
      <c r="F59" s="42" t="s">
        <v>335</v>
      </c>
      <c r="G59" s="45" t="s">
        <v>28</v>
      </c>
      <c r="H59" s="43"/>
      <c r="I59" s="43"/>
      <c r="J59" s="43"/>
      <c r="K59" s="45" t="s">
        <v>28</v>
      </c>
      <c r="L59" s="43"/>
      <c r="M59" s="43"/>
      <c r="N59" s="43"/>
      <c r="O59" s="43"/>
      <c r="P59" s="43"/>
      <c r="Q59" s="43"/>
      <c r="R59" s="43"/>
    </row>
    <row r="60" spans="1:18" ht="57.6" customHeight="1" x14ac:dyDescent="0.25">
      <c r="A60" s="42" t="s">
        <v>336</v>
      </c>
      <c r="B60" s="42" t="s">
        <v>337</v>
      </c>
      <c r="C60" s="42" t="s">
        <v>338</v>
      </c>
      <c r="D60" s="42" t="s">
        <v>339</v>
      </c>
      <c r="E60" s="42" t="s">
        <v>340</v>
      </c>
      <c r="F60" s="42" t="s">
        <v>341</v>
      </c>
      <c r="G60" s="45" t="s">
        <v>28</v>
      </c>
      <c r="H60" s="43"/>
      <c r="I60" s="43"/>
      <c r="J60" s="43"/>
      <c r="K60" s="45" t="s">
        <v>28</v>
      </c>
      <c r="L60" s="43"/>
      <c r="M60" s="43"/>
      <c r="N60" s="43"/>
      <c r="O60" s="43"/>
      <c r="P60" s="43"/>
      <c r="Q60" s="43"/>
      <c r="R60" s="43"/>
    </row>
    <row r="61" spans="1:18" ht="57.6" customHeight="1" x14ac:dyDescent="0.25">
      <c r="A61" s="42" t="s">
        <v>342</v>
      </c>
      <c r="B61" s="42" t="s">
        <v>343</v>
      </c>
      <c r="C61" s="42" t="s">
        <v>344</v>
      </c>
      <c r="D61" s="42" t="s">
        <v>345</v>
      </c>
      <c r="E61" s="42" t="s">
        <v>346</v>
      </c>
      <c r="F61" s="42" t="s">
        <v>335</v>
      </c>
      <c r="G61" s="45" t="s">
        <v>28</v>
      </c>
      <c r="H61" s="43"/>
      <c r="I61" s="43"/>
      <c r="J61" s="43"/>
      <c r="K61" s="45" t="s">
        <v>28</v>
      </c>
      <c r="L61" s="43"/>
      <c r="M61" s="43"/>
      <c r="N61" s="43"/>
      <c r="O61" s="43"/>
      <c r="P61" s="43"/>
      <c r="Q61" s="43"/>
      <c r="R61" s="43"/>
    </row>
    <row r="62" spans="1:18" ht="43.2" customHeight="1" x14ac:dyDescent="0.25">
      <c r="A62" s="42" t="s">
        <v>347</v>
      </c>
      <c r="B62" s="42" t="s">
        <v>348</v>
      </c>
      <c r="C62" s="42" t="s">
        <v>93</v>
      </c>
      <c r="D62" s="42" t="s">
        <v>349</v>
      </c>
      <c r="E62" s="42" t="s">
        <v>350</v>
      </c>
      <c r="F62" s="42" t="s">
        <v>335</v>
      </c>
      <c r="G62" s="45" t="s">
        <v>28</v>
      </c>
      <c r="H62" s="43"/>
      <c r="I62" s="43"/>
      <c r="J62" s="43"/>
      <c r="K62" s="45" t="s">
        <v>28</v>
      </c>
      <c r="L62" s="43"/>
      <c r="M62" s="43"/>
      <c r="N62" s="43"/>
      <c r="O62" s="43"/>
      <c r="P62" s="43"/>
      <c r="Q62" s="43"/>
      <c r="R62" s="43"/>
    </row>
    <row r="63" spans="1:18" ht="43.2" customHeight="1" x14ac:dyDescent="0.25">
      <c r="A63" s="42" t="s">
        <v>351</v>
      </c>
      <c r="B63" s="42" t="s">
        <v>352</v>
      </c>
      <c r="C63" s="42" t="s">
        <v>93</v>
      </c>
      <c r="D63" s="42" t="s">
        <v>353</v>
      </c>
      <c r="E63" s="42" t="s">
        <v>354</v>
      </c>
      <c r="F63" s="42" t="s">
        <v>355</v>
      </c>
      <c r="G63" s="45" t="s">
        <v>28</v>
      </c>
      <c r="H63" s="43"/>
      <c r="I63" s="43"/>
      <c r="J63" s="43"/>
      <c r="K63" s="45" t="s">
        <v>28</v>
      </c>
      <c r="L63" s="43"/>
      <c r="M63" s="43"/>
      <c r="N63" s="43"/>
      <c r="O63" s="43"/>
      <c r="P63" s="43"/>
      <c r="Q63" s="43"/>
      <c r="R63" s="43"/>
    </row>
    <row r="64" spans="1:18" ht="57.6" customHeight="1" x14ac:dyDescent="0.25">
      <c r="A64" s="42" t="s">
        <v>356</v>
      </c>
      <c r="B64" s="42" t="s">
        <v>357</v>
      </c>
      <c r="C64" s="42" t="s">
        <v>358</v>
      </c>
      <c r="D64" s="42" t="s">
        <v>359</v>
      </c>
      <c r="E64" s="42" t="s">
        <v>360</v>
      </c>
      <c r="F64" s="42" t="s">
        <v>355</v>
      </c>
      <c r="G64" s="45" t="s">
        <v>28</v>
      </c>
      <c r="H64" s="43"/>
      <c r="I64" s="43"/>
      <c r="J64" s="43"/>
      <c r="K64" s="45" t="s">
        <v>28</v>
      </c>
      <c r="L64" s="43"/>
      <c r="M64" s="43"/>
      <c r="N64" s="43"/>
      <c r="O64" s="43"/>
      <c r="P64" s="43"/>
      <c r="Q64" s="43"/>
      <c r="R64" s="43"/>
    </row>
    <row r="65" spans="1:18" ht="43.2" customHeight="1" x14ac:dyDescent="0.25">
      <c r="A65" s="42" t="s">
        <v>361</v>
      </c>
      <c r="B65" s="42" t="s">
        <v>362</v>
      </c>
      <c r="C65" s="42" t="s">
        <v>363</v>
      </c>
      <c r="D65" s="42" t="s">
        <v>364</v>
      </c>
      <c r="E65" s="42" t="s">
        <v>365</v>
      </c>
      <c r="F65" s="42" t="s">
        <v>366</v>
      </c>
      <c r="G65" s="45" t="s">
        <v>28</v>
      </c>
      <c r="H65" s="43"/>
      <c r="I65" s="43"/>
      <c r="J65" s="43"/>
      <c r="K65" s="45" t="s">
        <v>28</v>
      </c>
      <c r="L65" s="43"/>
      <c r="M65" s="43"/>
      <c r="N65" s="43"/>
      <c r="O65" s="43"/>
      <c r="P65" s="43"/>
      <c r="Q65" s="43"/>
      <c r="R65" s="43"/>
    </row>
    <row r="66" spans="1:18" ht="57.6" customHeight="1" x14ac:dyDescent="0.25">
      <c r="A66" s="42" t="s">
        <v>367</v>
      </c>
      <c r="B66" s="42" t="s">
        <v>368</v>
      </c>
      <c r="C66" s="42" t="s">
        <v>369</v>
      </c>
      <c r="D66" s="42" t="s">
        <v>370</v>
      </c>
      <c r="E66" s="42" t="s">
        <v>371</v>
      </c>
      <c r="F66" s="42" t="s">
        <v>366</v>
      </c>
      <c r="G66" s="45" t="s">
        <v>28</v>
      </c>
      <c r="H66" s="43"/>
      <c r="I66" s="43"/>
      <c r="J66" s="43"/>
      <c r="K66" s="45" t="s">
        <v>28</v>
      </c>
      <c r="L66" s="43"/>
      <c r="M66" s="43"/>
      <c r="N66" s="43"/>
      <c r="O66" s="43"/>
      <c r="P66" s="43"/>
      <c r="Q66" s="43"/>
      <c r="R66" s="43"/>
    </row>
    <row r="67" spans="1:18" ht="43.2" customHeight="1" x14ac:dyDescent="0.25">
      <c r="A67" s="42" t="s">
        <v>372</v>
      </c>
      <c r="B67" s="42" t="s">
        <v>373</v>
      </c>
      <c r="C67" s="42" t="s">
        <v>374</v>
      </c>
      <c r="D67" s="42" t="s">
        <v>375</v>
      </c>
      <c r="E67" s="42" t="s">
        <v>376</v>
      </c>
      <c r="F67" s="42" t="s">
        <v>377</v>
      </c>
      <c r="G67" s="45" t="s">
        <v>28</v>
      </c>
      <c r="H67" s="43"/>
      <c r="I67" s="43"/>
      <c r="J67" s="43"/>
      <c r="K67" s="45" t="s">
        <v>28</v>
      </c>
      <c r="L67" s="43"/>
      <c r="M67" s="43"/>
      <c r="N67" s="43"/>
      <c r="O67" s="43"/>
      <c r="P67" s="43"/>
      <c r="Q67" s="43"/>
      <c r="R67" s="43"/>
    </row>
    <row r="68" spans="1:18" ht="57.6" customHeight="1" x14ac:dyDescent="0.25">
      <c r="A68" s="42" t="s">
        <v>378</v>
      </c>
      <c r="B68" s="42" t="s">
        <v>379</v>
      </c>
      <c r="C68" s="42" t="s">
        <v>380</v>
      </c>
      <c r="D68" s="42" t="s">
        <v>381</v>
      </c>
      <c r="E68" s="42" t="s">
        <v>382</v>
      </c>
      <c r="F68" s="42" t="s">
        <v>383</v>
      </c>
      <c r="G68" s="45" t="s">
        <v>28</v>
      </c>
      <c r="H68" s="43"/>
      <c r="I68" s="43"/>
      <c r="J68" s="43"/>
      <c r="K68" s="45" t="s">
        <v>28</v>
      </c>
      <c r="L68" s="43"/>
      <c r="M68" s="43"/>
      <c r="N68" s="43"/>
      <c r="O68" s="43"/>
      <c r="P68" s="43"/>
      <c r="Q68" s="43"/>
      <c r="R68" s="43"/>
    </row>
    <row r="69" spans="1:18" s="52" customFormat="1" ht="57.6" customHeight="1" x14ac:dyDescent="0.25">
      <c r="A69" s="42" t="s">
        <v>384</v>
      </c>
      <c r="B69" s="62" t="s">
        <v>385</v>
      </c>
      <c r="C69" s="62" t="s">
        <v>386</v>
      </c>
      <c r="D69" s="62" t="s">
        <v>387</v>
      </c>
      <c r="E69" s="62" t="s">
        <v>388</v>
      </c>
      <c r="F69" s="62" t="s">
        <v>389</v>
      </c>
      <c r="G69" s="63" t="s">
        <v>28</v>
      </c>
      <c r="H69" s="64"/>
      <c r="I69" s="64"/>
      <c r="J69" s="64"/>
      <c r="K69" s="63" t="s">
        <v>28</v>
      </c>
      <c r="L69" s="64"/>
      <c r="M69" s="64"/>
      <c r="N69" s="64"/>
      <c r="O69" s="64"/>
      <c r="P69" s="64"/>
      <c r="Q69" s="64"/>
      <c r="R69" s="64"/>
    </row>
    <row r="70" spans="1:18" s="52" customFormat="1" ht="40.200000000000003" customHeight="1" x14ac:dyDescent="0.25">
      <c r="A70" s="61" t="s">
        <v>390</v>
      </c>
      <c r="B70" s="68" t="s">
        <v>391</v>
      </c>
      <c r="C70" s="72" t="s">
        <v>392</v>
      </c>
      <c r="D70" s="72" t="s">
        <v>393</v>
      </c>
      <c r="E70" s="72" t="s">
        <v>394</v>
      </c>
      <c r="F70" s="70" t="s">
        <v>389</v>
      </c>
      <c r="G70" s="63" t="s">
        <v>28</v>
      </c>
      <c r="H70" s="64"/>
      <c r="I70" s="64"/>
      <c r="J70" s="64"/>
      <c r="K70" s="63" t="s">
        <v>28</v>
      </c>
      <c r="L70" s="70"/>
      <c r="M70" s="70"/>
      <c r="N70" s="70"/>
      <c r="O70" s="70"/>
      <c r="P70" s="70"/>
      <c r="Q70" s="70"/>
      <c r="R70" s="70"/>
    </row>
    <row r="71" spans="1:18" s="52" customFormat="1" ht="55.8" customHeight="1" x14ac:dyDescent="0.25">
      <c r="A71" s="61" t="s">
        <v>395</v>
      </c>
      <c r="B71" s="68" t="s">
        <v>396</v>
      </c>
      <c r="C71" s="72" t="s">
        <v>397</v>
      </c>
      <c r="D71" s="72" t="s">
        <v>398</v>
      </c>
      <c r="E71" s="72" t="s">
        <v>399</v>
      </c>
      <c r="F71" s="70" t="s">
        <v>389</v>
      </c>
      <c r="G71" s="63" t="s">
        <v>28</v>
      </c>
      <c r="H71" s="64"/>
      <c r="I71" s="64"/>
      <c r="J71" s="64"/>
      <c r="K71" s="63" t="s">
        <v>28</v>
      </c>
      <c r="L71" s="70"/>
      <c r="M71" s="70"/>
      <c r="N71" s="70"/>
      <c r="O71" s="70"/>
      <c r="P71" s="70"/>
      <c r="Q71" s="70"/>
      <c r="R71" s="70"/>
    </row>
    <row r="72" spans="1:18" ht="43.2" customHeight="1" x14ac:dyDescent="0.25">
      <c r="A72" s="42" t="s">
        <v>400</v>
      </c>
      <c r="B72" s="65" t="s">
        <v>401</v>
      </c>
      <c r="C72" s="65" t="s">
        <v>402</v>
      </c>
      <c r="D72" s="65" t="s">
        <v>403</v>
      </c>
      <c r="E72" s="65" t="s">
        <v>404</v>
      </c>
      <c r="F72" s="65" t="s">
        <v>323</v>
      </c>
      <c r="G72" s="66" t="s">
        <v>28</v>
      </c>
      <c r="H72" s="67"/>
      <c r="I72" s="67"/>
      <c r="J72" s="67"/>
      <c r="K72" s="66" t="s">
        <v>28</v>
      </c>
      <c r="L72" s="67"/>
      <c r="M72" s="67"/>
      <c r="N72" s="67"/>
      <c r="O72" s="67"/>
      <c r="P72" s="67"/>
      <c r="Q72" s="67"/>
      <c r="R72" s="67"/>
    </row>
    <row r="73" spans="1:18" ht="72" customHeight="1" x14ac:dyDescent="0.25">
      <c r="A73" s="53" t="s">
        <v>405</v>
      </c>
      <c r="B73" s="53" t="s">
        <v>406</v>
      </c>
      <c r="C73" s="54" t="s">
        <v>407</v>
      </c>
      <c r="D73" s="54" t="s">
        <v>408</v>
      </c>
      <c r="E73" s="54" t="s">
        <v>409</v>
      </c>
      <c r="F73" s="54" t="s">
        <v>323</v>
      </c>
      <c r="G73" s="45" t="s">
        <v>28</v>
      </c>
      <c r="H73" s="51"/>
      <c r="I73" s="51"/>
      <c r="J73" s="51"/>
      <c r="K73" s="45" t="s">
        <v>28</v>
      </c>
      <c r="L73" s="51"/>
      <c r="M73" s="51"/>
      <c r="N73" s="51"/>
      <c r="O73" s="51"/>
      <c r="P73" s="51"/>
      <c r="Q73" s="51"/>
      <c r="R73" s="51"/>
    </row>
    <row r="74" spans="1:18" s="81" customFormat="1" ht="16.2" customHeight="1" x14ac:dyDescent="0.25">
      <c r="A74" s="80"/>
      <c r="B74" s="138" t="s">
        <v>410</v>
      </c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40"/>
    </row>
    <row r="75" spans="1:18" s="81" customFormat="1" ht="18.600000000000001" customHeight="1" x14ac:dyDescent="0.25">
      <c r="A75" s="82"/>
      <c r="B75" s="141" t="s">
        <v>411</v>
      </c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3"/>
    </row>
    <row r="76" spans="1:18" ht="43.2" customHeight="1" x14ac:dyDescent="0.25">
      <c r="A76" s="42" t="s">
        <v>412</v>
      </c>
      <c r="B76" s="42" t="s">
        <v>413</v>
      </c>
      <c r="C76" s="42" t="s">
        <v>414</v>
      </c>
      <c r="D76" s="42" t="s">
        <v>415</v>
      </c>
      <c r="E76" s="42" t="s">
        <v>416</v>
      </c>
      <c r="F76" s="42"/>
      <c r="G76" s="45" t="s">
        <v>28</v>
      </c>
      <c r="H76" s="43"/>
      <c r="I76" s="43"/>
      <c r="J76" s="43"/>
      <c r="K76" s="45" t="s">
        <v>28</v>
      </c>
      <c r="L76" s="43"/>
      <c r="M76" s="43"/>
      <c r="N76" s="43"/>
      <c r="O76" s="43"/>
      <c r="P76" s="43"/>
      <c r="Q76" s="43"/>
      <c r="R76" s="43"/>
    </row>
    <row r="77" spans="1:18" ht="28.8" customHeight="1" x14ac:dyDescent="0.25">
      <c r="A77" s="42" t="s">
        <v>417</v>
      </c>
      <c r="B77" s="42" t="s">
        <v>418</v>
      </c>
      <c r="C77" s="42" t="s">
        <v>414</v>
      </c>
      <c r="D77" s="42" t="s">
        <v>419</v>
      </c>
      <c r="E77" s="42" t="s">
        <v>420</v>
      </c>
      <c r="F77" s="42"/>
      <c r="G77" s="45" t="s">
        <v>28</v>
      </c>
      <c r="H77" s="43"/>
      <c r="I77" s="43"/>
      <c r="J77" s="43"/>
      <c r="K77" s="45" t="s">
        <v>28</v>
      </c>
      <c r="L77" s="43"/>
      <c r="M77" s="43"/>
      <c r="N77" s="43"/>
      <c r="O77" s="43"/>
      <c r="P77" s="43"/>
      <c r="Q77" s="43"/>
      <c r="R77" s="43"/>
    </row>
    <row r="78" spans="1:18" ht="78.599999999999994" customHeight="1" x14ac:dyDescent="0.25">
      <c r="A78" s="42" t="s">
        <v>421</v>
      </c>
      <c r="B78" s="42" t="s">
        <v>422</v>
      </c>
      <c r="C78" s="62" t="s">
        <v>414</v>
      </c>
      <c r="D78" s="62" t="s">
        <v>423</v>
      </c>
      <c r="E78" s="62" t="s">
        <v>424</v>
      </c>
      <c r="F78" s="62"/>
      <c r="G78" s="63" t="s">
        <v>28</v>
      </c>
      <c r="H78" s="64"/>
      <c r="I78" s="64"/>
      <c r="J78" s="64"/>
      <c r="K78" s="63" t="s">
        <v>28</v>
      </c>
      <c r="L78" s="64"/>
      <c r="M78" s="64"/>
      <c r="N78" s="64"/>
      <c r="O78" s="64"/>
      <c r="P78" s="64"/>
      <c r="Q78" s="64"/>
      <c r="R78" s="64"/>
    </row>
    <row r="79" spans="1:18" s="58" customFormat="1" ht="40.799999999999997" customHeight="1" x14ac:dyDescent="0.25">
      <c r="A79" s="42" t="s">
        <v>425</v>
      </c>
      <c r="B79" s="61" t="s">
        <v>426</v>
      </c>
      <c r="C79" s="68" t="s">
        <v>414</v>
      </c>
      <c r="D79" s="68" t="s">
        <v>427</v>
      </c>
      <c r="E79" s="68" t="s">
        <v>428</v>
      </c>
      <c r="F79" s="68"/>
      <c r="G79" s="45" t="s">
        <v>28</v>
      </c>
      <c r="H79" s="69"/>
      <c r="I79" s="69"/>
      <c r="J79" s="69"/>
      <c r="K79" s="45" t="s">
        <v>28</v>
      </c>
      <c r="L79" s="69"/>
      <c r="M79" s="69"/>
      <c r="N79" s="69"/>
      <c r="O79" s="69"/>
      <c r="P79" s="69"/>
      <c r="Q79" s="69"/>
      <c r="R79" s="69"/>
    </row>
    <row r="80" spans="1:18" s="52" customFormat="1" ht="43.8" customHeight="1" x14ac:dyDescent="0.25">
      <c r="A80" s="42" t="s">
        <v>429</v>
      </c>
      <c r="B80" s="61" t="s">
        <v>430</v>
      </c>
      <c r="C80" s="72" t="s">
        <v>414</v>
      </c>
      <c r="D80" s="72" t="s">
        <v>431</v>
      </c>
      <c r="E80" s="72" t="s">
        <v>428</v>
      </c>
      <c r="F80" s="70"/>
      <c r="G80" s="45" t="s">
        <v>28</v>
      </c>
      <c r="H80" s="69"/>
      <c r="I80" s="69"/>
      <c r="J80" s="69"/>
      <c r="K80" s="45" t="s">
        <v>28</v>
      </c>
      <c r="L80" s="70"/>
      <c r="M80" s="70"/>
      <c r="N80" s="70"/>
      <c r="O80" s="70"/>
      <c r="P80" s="70"/>
      <c r="Q80" s="70"/>
      <c r="R80" s="70"/>
    </row>
    <row r="81" spans="1:18" ht="43.2" customHeight="1" x14ac:dyDescent="0.25">
      <c r="A81" s="42" t="s">
        <v>432</v>
      </c>
      <c r="B81" s="61" t="s">
        <v>433</v>
      </c>
      <c r="C81" s="68" t="s">
        <v>414</v>
      </c>
      <c r="D81" s="68" t="s">
        <v>434</v>
      </c>
      <c r="E81" s="68" t="s">
        <v>435</v>
      </c>
      <c r="F81" s="68"/>
      <c r="G81" s="45" t="s">
        <v>28</v>
      </c>
      <c r="H81" s="69"/>
      <c r="I81" s="69"/>
      <c r="J81" s="69"/>
      <c r="K81" s="45" t="s">
        <v>28</v>
      </c>
      <c r="L81" s="69"/>
      <c r="M81" s="69"/>
      <c r="N81" s="69"/>
      <c r="O81" s="69"/>
      <c r="P81" s="69"/>
      <c r="Q81" s="69"/>
      <c r="R81" s="69"/>
    </row>
    <row r="82" spans="1:18" ht="57.6" customHeight="1" x14ac:dyDescent="0.25">
      <c r="A82" s="42" t="s">
        <v>436</v>
      </c>
      <c r="B82" s="61" t="s">
        <v>437</v>
      </c>
      <c r="C82" s="68" t="s">
        <v>414</v>
      </c>
      <c r="D82" s="68" t="s">
        <v>438</v>
      </c>
      <c r="E82" s="68" t="s">
        <v>439</v>
      </c>
      <c r="F82" s="68"/>
      <c r="G82" s="45" t="s">
        <v>28</v>
      </c>
      <c r="H82" s="69"/>
      <c r="I82" s="69"/>
      <c r="J82" s="69"/>
      <c r="K82" s="45" t="s">
        <v>28</v>
      </c>
      <c r="L82" s="69"/>
      <c r="M82" s="69"/>
      <c r="N82" s="69"/>
      <c r="O82" s="69"/>
      <c r="P82" s="69"/>
      <c r="Q82" s="69"/>
      <c r="R82" s="69"/>
    </row>
    <row r="83" spans="1:18" ht="57.6" customHeight="1" x14ac:dyDescent="0.25">
      <c r="A83" s="47" t="s">
        <v>440</v>
      </c>
      <c r="B83" s="47" t="s">
        <v>441</v>
      </c>
      <c r="C83" s="71" t="s">
        <v>414</v>
      </c>
      <c r="D83" s="71" t="s">
        <v>442</v>
      </c>
      <c r="E83" s="71" t="s">
        <v>439</v>
      </c>
      <c r="F83" s="71"/>
      <c r="G83" s="66" t="s">
        <v>28</v>
      </c>
      <c r="H83" s="71"/>
      <c r="I83" s="71"/>
      <c r="J83" s="71"/>
      <c r="K83" s="66" t="s">
        <v>28</v>
      </c>
      <c r="L83" s="71"/>
      <c r="M83" s="71"/>
      <c r="N83" s="71"/>
      <c r="O83" s="71"/>
      <c r="P83" s="71"/>
      <c r="Q83" s="71"/>
      <c r="R83" s="71"/>
    </row>
    <row r="84" spans="1:18" s="81" customFormat="1" ht="15.6" customHeight="1" x14ac:dyDescent="0.25">
      <c r="A84" s="82"/>
      <c r="B84" s="148" t="s">
        <v>443</v>
      </c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50"/>
    </row>
    <row r="85" spans="1:18" ht="57.6" customHeight="1" x14ac:dyDescent="0.25">
      <c r="A85" s="42" t="s">
        <v>444</v>
      </c>
      <c r="B85" s="42" t="s">
        <v>445</v>
      </c>
      <c r="C85" s="42" t="s">
        <v>414</v>
      </c>
      <c r="D85" s="42" t="s">
        <v>446</v>
      </c>
      <c r="E85" s="42" t="s">
        <v>447</v>
      </c>
      <c r="F85" s="42"/>
      <c r="G85" s="45" t="s">
        <v>28</v>
      </c>
      <c r="H85" s="43"/>
      <c r="I85" s="43"/>
      <c r="J85" s="43"/>
      <c r="K85" s="45" t="s">
        <v>28</v>
      </c>
      <c r="L85" s="43"/>
      <c r="M85" s="43"/>
      <c r="N85" s="43"/>
      <c r="O85" s="43"/>
      <c r="P85" s="43"/>
      <c r="Q85" s="43"/>
      <c r="R85" s="43"/>
    </row>
    <row r="86" spans="1:18" ht="57.6" customHeight="1" x14ac:dyDescent="0.25">
      <c r="A86" s="42" t="s">
        <v>448</v>
      </c>
      <c r="B86" s="42" t="s">
        <v>449</v>
      </c>
      <c r="C86" s="42" t="s">
        <v>414</v>
      </c>
      <c r="D86" s="42" t="s">
        <v>450</v>
      </c>
      <c r="E86" s="42" t="s">
        <v>447</v>
      </c>
      <c r="F86" s="42"/>
      <c r="G86" s="45" t="s">
        <v>28</v>
      </c>
      <c r="H86" s="43"/>
      <c r="I86" s="43"/>
      <c r="J86" s="43"/>
      <c r="K86" s="45" t="s">
        <v>28</v>
      </c>
      <c r="L86" s="43"/>
      <c r="M86" s="43"/>
      <c r="N86" s="43"/>
      <c r="O86" s="43"/>
      <c r="P86" s="43"/>
      <c r="Q86" s="43"/>
      <c r="R86" s="43"/>
    </row>
    <row r="87" spans="1:18" ht="57.6" customHeight="1" x14ac:dyDescent="0.25">
      <c r="A87" s="42" t="s">
        <v>451</v>
      </c>
      <c r="B87" s="42" t="s">
        <v>452</v>
      </c>
      <c r="C87" s="42" t="s">
        <v>414</v>
      </c>
      <c r="D87" s="42" t="s">
        <v>453</v>
      </c>
      <c r="E87" s="42" t="s">
        <v>454</v>
      </c>
      <c r="F87" s="42"/>
      <c r="G87" s="45" t="s">
        <v>28</v>
      </c>
      <c r="H87" s="43"/>
      <c r="I87" s="43"/>
      <c r="J87" s="43"/>
      <c r="K87" s="45" t="s">
        <v>28</v>
      </c>
      <c r="L87" s="43"/>
      <c r="M87" s="43"/>
      <c r="N87" s="43"/>
      <c r="O87" s="43"/>
      <c r="P87" s="43"/>
      <c r="Q87" s="43"/>
      <c r="R87" s="43"/>
    </row>
    <row r="88" spans="1:18" s="58" customFormat="1" ht="65.400000000000006" customHeight="1" x14ac:dyDescent="0.25">
      <c r="A88" s="62" t="s">
        <v>455</v>
      </c>
      <c r="B88" s="62" t="s">
        <v>456</v>
      </c>
      <c r="C88" s="62" t="s">
        <v>414</v>
      </c>
      <c r="D88" s="62" t="s">
        <v>457</v>
      </c>
      <c r="E88" s="62" t="s">
        <v>458</v>
      </c>
      <c r="F88" s="62"/>
      <c r="G88" s="63" t="s">
        <v>28</v>
      </c>
      <c r="H88" s="64"/>
      <c r="I88" s="64"/>
      <c r="J88" s="64"/>
      <c r="K88" s="63" t="s">
        <v>28</v>
      </c>
      <c r="L88" s="64"/>
      <c r="M88" s="64"/>
      <c r="N88" s="64"/>
      <c r="O88" s="64"/>
      <c r="P88" s="64"/>
      <c r="Q88" s="64"/>
      <c r="R88" s="64"/>
    </row>
    <row r="89" spans="1:18" s="52" customFormat="1" ht="57.6" customHeight="1" x14ac:dyDescent="0.25">
      <c r="A89" s="68" t="s">
        <v>459</v>
      </c>
      <c r="B89" s="68" t="s">
        <v>460</v>
      </c>
      <c r="C89" s="72" t="s">
        <v>414</v>
      </c>
      <c r="D89" s="72" t="s">
        <v>461</v>
      </c>
      <c r="E89" s="72" t="s">
        <v>462</v>
      </c>
      <c r="F89" s="70"/>
      <c r="G89" s="63" t="s">
        <v>28</v>
      </c>
      <c r="H89" s="73"/>
      <c r="I89" s="73"/>
      <c r="J89" s="73"/>
      <c r="K89" s="63" t="s">
        <v>28</v>
      </c>
      <c r="L89" s="70"/>
      <c r="M89" s="70"/>
      <c r="N89" s="70"/>
      <c r="O89" s="70"/>
      <c r="P89" s="70"/>
      <c r="Q89" s="70"/>
      <c r="R89" s="70"/>
    </row>
    <row r="90" spans="1:18" s="52" customFormat="1" ht="61.2" customHeight="1" x14ac:dyDescent="0.25">
      <c r="A90" s="68" t="s">
        <v>463</v>
      </c>
      <c r="B90" s="68" t="s">
        <v>464</v>
      </c>
      <c r="C90" s="72" t="s">
        <v>414</v>
      </c>
      <c r="D90" s="72" t="s">
        <v>1038</v>
      </c>
      <c r="E90" s="72" t="s">
        <v>465</v>
      </c>
      <c r="F90" s="70"/>
      <c r="G90" s="63" t="s">
        <v>28</v>
      </c>
      <c r="H90" s="73"/>
      <c r="I90" s="73"/>
      <c r="J90" s="73"/>
      <c r="K90" s="63" t="s">
        <v>28</v>
      </c>
      <c r="L90" s="70"/>
      <c r="M90" s="70"/>
      <c r="N90" s="70"/>
      <c r="O90" s="70"/>
      <c r="P90" s="70"/>
      <c r="Q90" s="70"/>
      <c r="R90" s="70"/>
    </row>
    <row r="91" spans="1:18" ht="57.6" customHeight="1" x14ac:dyDescent="0.25">
      <c r="A91" s="68" t="s">
        <v>466</v>
      </c>
      <c r="B91" s="68" t="s">
        <v>467</v>
      </c>
      <c r="C91" s="68" t="s">
        <v>414</v>
      </c>
      <c r="D91" s="68" t="s">
        <v>1039</v>
      </c>
      <c r="E91" s="68" t="s">
        <v>468</v>
      </c>
      <c r="F91" s="68"/>
      <c r="G91" s="45" t="s">
        <v>28</v>
      </c>
      <c r="H91" s="69"/>
      <c r="I91" s="69"/>
      <c r="J91" s="69"/>
      <c r="K91" s="45" t="s">
        <v>28</v>
      </c>
      <c r="L91" s="69"/>
      <c r="M91" s="69"/>
      <c r="N91" s="69"/>
      <c r="O91" s="69"/>
      <c r="P91" s="69"/>
      <c r="Q91" s="69"/>
      <c r="R91" s="69"/>
    </row>
    <row r="92" spans="1:18" ht="66" customHeight="1" x14ac:dyDescent="0.25">
      <c r="A92" s="65" t="s">
        <v>469</v>
      </c>
      <c r="B92" s="65" t="s">
        <v>470</v>
      </c>
      <c r="C92" s="71" t="s">
        <v>414</v>
      </c>
      <c r="D92" s="71" t="s">
        <v>1040</v>
      </c>
      <c r="E92" s="71" t="s">
        <v>471</v>
      </c>
      <c r="F92" s="71"/>
      <c r="G92" s="63" t="s">
        <v>28</v>
      </c>
      <c r="H92" s="73"/>
      <c r="I92" s="73"/>
      <c r="J92" s="73"/>
      <c r="K92" s="63" t="s">
        <v>28</v>
      </c>
      <c r="L92" s="71"/>
      <c r="M92" s="71"/>
      <c r="N92" s="71"/>
      <c r="O92" s="71"/>
      <c r="P92" s="71"/>
      <c r="Q92" s="71"/>
      <c r="R92" s="71"/>
    </row>
    <row r="93" spans="1:18" s="81" customFormat="1" ht="14.4" customHeight="1" x14ac:dyDescent="0.25">
      <c r="A93" s="79"/>
      <c r="B93" s="151" t="s">
        <v>472</v>
      </c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3"/>
    </row>
    <row r="94" spans="1:18" s="81" customFormat="1" ht="15" customHeight="1" x14ac:dyDescent="0.25">
      <c r="A94" s="80"/>
      <c r="B94" s="132" t="s">
        <v>80</v>
      </c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4"/>
    </row>
    <row r="95" spans="1:18" s="52" customFormat="1" ht="105.6" customHeight="1" x14ac:dyDescent="0.25">
      <c r="A95" s="42" t="s">
        <v>473</v>
      </c>
      <c r="B95" s="42" t="s">
        <v>474</v>
      </c>
      <c r="C95" s="42" t="s">
        <v>475</v>
      </c>
      <c r="D95" s="62" t="s">
        <v>476</v>
      </c>
      <c r="E95" s="62" t="s">
        <v>1041</v>
      </c>
      <c r="F95" s="62" t="s">
        <v>85</v>
      </c>
      <c r="G95" s="63" t="s">
        <v>28</v>
      </c>
      <c r="H95" s="73"/>
      <c r="I95" s="73"/>
      <c r="J95" s="73"/>
      <c r="K95" s="63" t="s">
        <v>28</v>
      </c>
      <c r="L95" s="73"/>
      <c r="M95" s="73"/>
      <c r="N95" s="73"/>
      <c r="O95" s="73"/>
      <c r="P95" s="73"/>
      <c r="Q95" s="73"/>
      <c r="R95" s="73"/>
    </row>
    <row r="96" spans="1:18" s="52" customFormat="1" ht="73.8" customHeight="1" x14ac:dyDescent="0.25">
      <c r="A96" s="47" t="s">
        <v>477</v>
      </c>
      <c r="B96" s="47" t="s">
        <v>478</v>
      </c>
      <c r="C96" s="58" t="s">
        <v>479</v>
      </c>
      <c r="D96" s="72" t="s">
        <v>480</v>
      </c>
      <c r="E96" s="72" t="s">
        <v>481</v>
      </c>
      <c r="F96" s="72" t="s">
        <v>122</v>
      </c>
      <c r="G96" s="63" t="s">
        <v>28</v>
      </c>
      <c r="H96" s="73"/>
      <c r="I96" s="73"/>
      <c r="J96" s="73"/>
      <c r="K96" s="63" t="s">
        <v>28</v>
      </c>
      <c r="L96" s="70"/>
      <c r="M96" s="70"/>
      <c r="N96" s="70"/>
      <c r="O96" s="70"/>
      <c r="P96" s="70"/>
      <c r="Q96" s="70"/>
      <c r="R96" s="70"/>
    </row>
    <row r="97" spans="1:18" ht="76.2" customHeight="1" x14ac:dyDescent="0.25">
      <c r="A97" s="53" t="s">
        <v>482</v>
      </c>
      <c r="B97" s="53" t="s">
        <v>483</v>
      </c>
      <c r="C97" s="53" t="s">
        <v>484</v>
      </c>
      <c r="D97" s="75" t="s">
        <v>485</v>
      </c>
      <c r="E97" s="65" t="s">
        <v>1042</v>
      </c>
      <c r="F97" s="75" t="s">
        <v>486</v>
      </c>
      <c r="G97" s="66" t="s">
        <v>28</v>
      </c>
      <c r="H97" s="74"/>
      <c r="I97" s="74"/>
      <c r="J97" s="74"/>
      <c r="K97" s="66" t="s">
        <v>28</v>
      </c>
      <c r="L97" s="74"/>
      <c r="M97" s="74"/>
      <c r="N97" s="74"/>
      <c r="O97" s="74"/>
      <c r="P97" s="74"/>
      <c r="Q97" s="74"/>
      <c r="R97" s="74"/>
    </row>
    <row r="98" spans="1:18" ht="84" customHeight="1" x14ac:dyDescent="0.25">
      <c r="A98" s="53" t="s">
        <v>487</v>
      </c>
      <c r="B98" s="53" t="s">
        <v>488</v>
      </c>
      <c r="C98" s="53" t="s">
        <v>489</v>
      </c>
      <c r="D98" s="53" t="s">
        <v>490</v>
      </c>
      <c r="E98" s="47" t="s">
        <v>1043</v>
      </c>
      <c r="F98" s="53"/>
      <c r="G98" s="45" t="s">
        <v>28</v>
      </c>
      <c r="H98" s="59"/>
      <c r="I98" s="59"/>
      <c r="J98" s="59"/>
      <c r="K98" s="45" t="s">
        <v>28</v>
      </c>
      <c r="L98" s="59"/>
      <c r="M98" s="59"/>
      <c r="N98" s="59"/>
      <c r="O98" s="59"/>
      <c r="P98" s="59"/>
      <c r="Q98" s="59"/>
      <c r="R98" s="59"/>
    </row>
    <row r="99" spans="1:18" ht="72" customHeight="1" x14ac:dyDescent="0.25">
      <c r="A99" s="53" t="s">
        <v>491</v>
      </c>
      <c r="B99" s="53" t="s">
        <v>492</v>
      </c>
      <c r="C99" s="53" t="s">
        <v>489</v>
      </c>
      <c r="D99" s="53" t="s">
        <v>493</v>
      </c>
      <c r="E99" s="47" t="s">
        <v>1044</v>
      </c>
      <c r="F99" s="53"/>
      <c r="G99" s="45" t="s">
        <v>28</v>
      </c>
      <c r="H99" s="59"/>
      <c r="I99" s="59"/>
      <c r="J99" s="59"/>
      <c r="K99" s="45" t="s">
        <v>28</v>
      </c>
      <c r="L99" s="59"/>
      <c r="M99" s="59"/>
      <c r="N99" s="59"/>
      <c r="O99" s="59"/>
      <c r="P99" s="59"/>
      <c r="Q99" s="59"/>
      <c r="R99" s="59"/>
    </row>
    <row r="100" spans="1:18" ht="83.4" customHeight="1" x14ac:dyDescent="0.25">
      <c r="A100" s="53" t="s">
        <v>494</v>
      </c>
      <c r="B100" s="53" t="s">
        <v>495</v>
      </c>
      <c r="C100" s="53" t="s">
        <v>496</v>
      </c>
      <c r="D100" s="53" t="s">
        <v>497</v>
      </c>
      <c r="E100" s="53" t="s">
        <v>498</v>
      </c>
      <c r="F100" s="53"/>
      <c r="G100" s="45" t="s">
        <v>28</v>
      </c>
      <c r="H100" s="59"/>
      <c r="I100" s="59"/>
      <c r="J100" s="59"/>
      <c r="K100" s="45" t="s">
        <v>28</v>
      </c>
      <c r="L100" s="59"/>
      <c r="M100" s="59"/>
      <c r="N100" s="59"/>
      <c r="O100" s="59"/>
      <c r="P100" s="59"/>
      <c r="Q100" s="59"/>
      <c r="R100" s="59"/>
    </row>
    <row r="101" spans="1:18" ht="84.6" customHeight="1" x14ac:dyDescent="0.25">
      <c r="A101" s="53" t="s">
        <v>499</v>
      </c>
      <c r="B101" s="53" t="s">
        <v>500</v>
      </c>
      <c r="C101" s="53" t="s">
        <v>501</v>
      </c>
      <c r="D101" s="53" t="s">
        <v>502</v>
      </c>
      <c r="E101" s="53" t="s">
        <v>503</v>
      </c>
      <c r="F101" s="53"/>
      <c r="G101" s="45" t="s">
        <v>28</v>
      </c>
      <c r="H101" s="59"/>
      <c r="I101" s="59"/>
      <c r="J101" s="59"/>
      <c r="K101" s="45" t="s">
        <v>28</v>
      </c>
      <c r="L101" s="59"/>
      <c r="M101" s="59"/>
      <c r="N101" s="59"/>
      <c r="O101" s="59"/>
      <c r="P101" s="59"/>
      <c r="Q101" s="59"/>
      <c r="R101" s="59"/>
    </row>
    <row r="102" spans="1:18" ht="60" customHeight="1" x14ac:dyDescent="0.25">
      <c r="A102" s="42" t="s">
        <v>504</v>
      </c>
      <c r="B102" s="42" t="s">
        <v>505</v>
      </c>
      <c r="C102" s="42" t="s">
        <v>506</v>
      </c>
      <c r="D102" s="42" t="s">
        <v>507</v>
      </c>
      <c r="E102" s="42" t="s">
        <v>1047</v>
      </c>
      <c r="F102" s="42"/>
      <c r="G102" s="45" t="s">
        <v>28</v>
      </c>
      <c r="H102" s="44"/>
      <c r="I102" s="44"/>
      <c r="J102" s="44"/>
      <c r="K102" s="45" t="s">
        <v>28</v>
      </c>
      <c r="L102" s="44"/>
      <c r="M102" s="44"/>
      <c r="N102" s="44"/>
      <c r="O102" s="44"/>
      <c r="P102" s="44"/>
      <c r="Q102" s="44"/>
      <c r="R102" s="44"/>
    </row>
    <row r="103" spans="1:18" ht="57.6" customHeight="1" x14ac:dyDescent="0.25">
      <c r="A103" s="42" t="s">
        <v>508</v>
      </c>
      <c r="B103" s="42" t="s">
        <v>509</v>
      </c>
      <c r="C103" s="42" t="s">
        <v>496</v>
      </c>
      <c r="D103" s="42" t="s">
        <v>510</v>
      </c>
      <c r="E103" s="42" t="s">
        <v>1045</v>
      </c>
      <c r="F103" s="42"/>
      <c r="G103" s="45" t="s">
        <v>28</v>
      </c>
      <c r="H103" s="44"/>
      <c r="I103" s="44"/>
      <c r="J103" s="44"/>
      <c r="K103" s="45" t="s">
        <v>28</v>
      </c>
      <c r="L103" s="44"/>
      <c r="M103" s="44"/>
      <c r="N103" s="44"/>
      <c r="O103" s="44"/>
      <c r="P103" s="44"/>
      <c r="Q103" s="44"/>
      <c r="R103" s="44"/>
    </row>
    <row r="104" spans="1:18" ht="57.6" customHeight="1" x14ac:dyDescent="0.25">
      <c r="A104" s="42" t="s">
        <v>511</v>
      </c>
      <c r="B104" s="42" t="s">
        <v>512</v>
      </c>
      <c r="C104" s="42" t="s">
        <v>496</v>
      </c>
      <c r="D104" s="42" t="s">
        <v>513</v>
      </c>
      <c r="E104" s="42" t="s">
        <v>1046</v>
      </c>
      <c r="F104" s="42"/>
      <c r="G104" s="45" t="s">
        <v>28</v>
      </c>
      <c r="H104" s="44"/>
      <c r="I104" s="44"/>
      <c r="J104" s="44"/>
      <c r="K104" s="45" t="s">
        <v>28</v>
      </c>
      <c r="L104" s="44"/>
      <c r="M104" s="44"/>
      <c r="N104" s="44"/>
      <c r="O104" s="44"/>
      <c r="P104" s="44"/>
      <c r="Q104" s="44"/>
      <c r="R104" s="44"/>
    </row>
    <row r="105" spans="1:18" ht="60.6" customHeight="1" x14ac:dyDescent="0.25">
      <c r="A105" s="47" t="s">
        <v>514</v>
      </c>
      <c r="B105" s="47" t="s">
        <v>515</v>
      </c>
      <c r="C105" s="57" t="s">
        <v>516</v>
      </c>
      <c r="D105" s="57" t="s">
        <v>517</v>
      </c>
      <c r="E105" s="57" t="s">
        <v>518</v>
      </c>
      <c r="F105" s="57" t="s">
        <v>101</v>
      </c>
      <c r="G105" s="45" t="s">
        <v>28</v>
      </c>
      <c r="H105" s="44"/>
      <c r="I105" s="44"/>
      <c r="J105" s="44"/>
      <c r="K105" s="45" t="s">
        <v>28</v>
      </c>
      <c r="L105" s="51"/>
      <c r="M105" s="51"/>
      <c r="N105" s="51"/>
      <c r="O105" s="51"/>
      <c r="P105" s="51"/>
      <c r="Q105" s="51"/>
      <c r="R105" s="51"/>
    </row>
    <row r="106" spans="1:18" s="81" customFormat="1" ht="18" customHeight="1" x14ac:dyDescent="0.25">
      <c r="A106" s="80"/>
      <c r="B106" s="135" t="s">
        <v>165</v>
      </c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7"/>
    </row>
    <row r="107" spans="1:18" ht="43.2" customHeight="1" x14ac:dyDescent="0.25">
      <c r="A107" s="42" t="s">
        <v>519</v>
      </c>
      <c r="B107" s="42" t="s">
        <v>520</v>
      </c>
      <c r="C107" s="42" t="s">
        <v>475</v>
      </c>
      <c r="D107" s="42" t="s">
        <v>521</v>
      </c>
      <c r="E107" s="42" t="s">
        <v>522</v>
      </c>
      <c r="F107" s="42" t="s">
        <v>523</v>
      </c>
      <c r="G107" s="45" t="s">
        <v>28</v>
      </c>
      <c r="H107" s="44"/>
      <c r="I107" s="44"/>
      <c r="J107" s="44"/>
      <c r="K107" s="45" t="s">
        <v>28</v>
      </c>
      <c r="L107" s="44"/>
      <c r="M107" s="44"/>
      <c r="N107" s="44"/>
      <c r="O107" s="44"/>
      <c r="P107" s="44"/>
      <c r="Q107" s="44"/>
      <c r="R107" s="44"/>
    </row>
    <row r="108" spans="1:18" ht="28.8" customHeight="1" x14ac:dyDescent="0.25">
      <c r="A108" s="42" t="s">
        <v>524</v>
      </c>
      <c r="B108" s="42" t="s">
        <v>525</v>
      </c>
      <c r="C108" s="42" t="s">
        <v>526</v>
      </c>
      <c r="D108" s="42" t="s">
        <v>527</v>
      </c>
      <c r="E108" s="42" t="s">
        <v>528</v>
      </c>
      <c r="F108" s="42"/>
      <c r="G108" s="45" t="s">
        <v>28</v>
      </c>
      <c r="H108" s="44"/>
      <c r="I108" s="44"/>
      <c r="J108" s="44"/>
      <c r="K108" s="45" t="s">
        <v>28</v>
      </c>
      <c r="L108" s="44"/>
      <c r="M108" s="44"/>
      <c r="N108" s="44"/>
      <c r="O108" s="44"/>
      <c r="P108" s="44"/>
      <c r="Q108" s="44"/>
      <c r="R108" s="44"/>
    </row>
    <row r="109" spans="1:18" ht="28.8" customHeight="1" x14ac:dyDescent="0.25">
      <c r="A109" s="42" t="s">
        <v>529</v>
      </c>
      <c r="B109" s="42" t="s">
        <v>530</v>
      </c>
      <c r="C109" s="42" t="s">
        <v>496</v>
      </c>
      <c r="D109" s="42" t="s">
        <v>531</v>
      </c>
      <c r="E109" s="42" t="s">
        <v>532</v>
      </c>
      <c r="F109" s="42"/>
      <c r="G109" s="45" t="s">
        <v>28</v>
      </c>
      <c r="H109" s="44"/>
      <c r="I109" s="44"/>
      <c r="J109" s="44"/>
      <c r="K109" s="45" t="s">
        <v>28</v>
      </c>
      <c r="L109" s="44"/>
      <c r="M109" s="44"/>
      <c r="N109" s="44"/>
      <c r="O109" s="44"/>
      <c r="P109" s="44"/>
      <c r="Q109" s="44"/>
      <c r="R109" s="44"/>
    </row>
    <row r="110" spans="1:18" ht="28.8" customHeight="1" x14ac:dyDescent="0.25">
      <c r="A110" s="42" t="s">
        <v>533</v>
      </c>
      <c r="B110" s="42" t="s">
        <v>534</v>
      </c>
      <c r="C110" s="42" t="s">
        <v>535</v>
      </c>
      <c r="D110" s="42" t="s">
        <v>536</v>
      </c>
      <c r="E110" s="42" t="s">
        <v>537</v>
      </c>
      <c r="F110" s="42" t="s">
        <v>538</v>
      </c>
      <c r="G110" s="45" t="s">
        <v>28</v>
      </c>
      <c r="H110" s="44"/>
      <c r="I110" s="44"/>
      <c r="J110" s="44"/>
      <c r="K110" s="45" t="s">
        <v>28</v>
      </c>
      <c r="L110" s="44"/>
      <c r="M110" s="44"/>
      <c r="N110" s="44"/>
      <c r="O110" s="44"/>
      <c r="P110" s="44"/>
      <c r="Q110" s="44"/>
      <c r="R110" s="44"/>
    </row>
    <row r="111" spans="1:18" ht="42.6" customHeight="1" x14ac:dyDescent="0.25">
      <c r="A111" s="42" t="s">
        <v>539</v>
      </c>
      <c r="B111" s="42" t="s">
        <v>540</v>
      </c>
      <c r="C111" s="42" t="s">
        <v>496</v>
      </c>
      <c r="D111" s="42" t="s">
        <v>541</v>
      </c>
      <c r="E111" s="42" t="s">
        <v>542</v>
      </c>
      <c r="F111" s="42" t="s">
        <v>486</v>
      </c>
      <c r="G111" s="45" t="s">
        <v>28</v>
      </c>
      <c r="H111" s="44"/>
      <c r="I111" s="44"/>
      <c r="J111" s="44"/>
      <c r="K111" s="45" t="s">
        <v>28</v>
      </c>
      <c r="L111" s="44"/>
      <c r="M111" s="44"/>
      <c r="N111" s="44"/>
      <c r="O111" s="44"/>
      <c r="P111" s="44"/>
      <c r="Q111" s="44"/>
      <c r="R111" s="44"/>
    </row>
    <row r="112" spans="1:18" ht="43.2" customHeight="1" x14ac:dyDescent="0.25">
      <c r="A112" s="42" t="s">
        <v>543</v>
      </c>
      <c r="B112" s="42" t="s">
        <v>544</v>
      </c>
      <c r="C112" s="42" t="s">
        <v>545</v>
      </c>
      <c r="D112" s="42" t="s">
        <v>546</v>
      </c>
      <c r="E112" s="42" t="s">
        <v>547</v>
      </c>
      <c r="F112" s="42" t="s">
        <v>486</v>
      </c>
      <c r="G112" s="45" t="s">
        <v>28</v>
      </c>
      <c r="H112" s="44"/>
      <c r="I112" s="44"/>
      <c r="J112" s="44"/>
      <c r="K112" s="45" t="s">
        <v>28</v>
      </c>
      <c r="L112" s="44"/>
      <c r="M112" s="44"/>
      <c r="N112" s="44"/>
      <c r="O112" s="44"/>
      <c r="P112" s="44"/>
      <c r="Q112" s="44"/>
      <c r="R112" s="44"/>
    </row>
    <row r="113" spans="1:18" ht="28.8" customHeight="1" x14ac:dyDescent="0.25">
      <c r="A113" s="42" t="s">
        <v>548</v>
      </c>
      <c r="B113" s="42" t="s">
        <v>549</v>
      </c>
      <c r="C113" s="42" t="s">
        <v>550</v>
      </c>
      <c r="D113" s="42" t="s">
        <v>551</v>
      </c>
      <c r="E113" s="42" t="s">
        <v>552</v>
      </c>
      <c r="F113" s="42" t="s">
        <v>486</v>
      </c>
      <c r="G113" s="45" t="s">
        <v>28</v>
      </c>
      <c r="H113" s="44"/>
      <c r="I113" s="44"/>
      <c r="J113" s="44"/>
      <c r="K113" s="45" t="s">
        <v>28</v>
      </c>
      <c r="L113" s="44"/>
      <c r="M113" s="44"/>
      <c r="N113" s="44"/>
      <c r="O113" s="44"/>
      <c r="P113" s="44"/>
      <c r="Q113" s="44"/>
      <c r="R113" s="44"/>
    </row>
    <row r="114" spans="1:18" ht="56.4" customHeight="1" x14ac:dyDescent="0.25">
      <c r="A114" s="42" t="s">
        <v>553</v>
      </c>
      <c r="B114" s="42" t="s">
        <v>554</v>
      </c>
      <c r="C114" s="42" t="s">
        <v>550</v>
      </c>
      <c r="D114" s="42" t="s">
        <v>555</v>
      </c>
      <c r="E114" s="42" t="s">
        <v>556</v>
      </c>
      <c r="F114" s="42" t="s">
        <v>486</v>
      </c>
      <c r="G114" s="45" t="s">
        <v>28</v>
      </c>
      <c r="H114" s="44"/>
      <c r="I114" s="44"/>
      <c r="J114" s="44"/>
      <c r="K114" s="45" t="s">
        <v>28</v>
      </c>
      <c r="L114" s="44"/>
      <c r="M114" s="44"/>
      <c r="N114" s="44"/>
      <c r="O114" s="44"/>
      <c r="P114" s="44"/>
      <c r="Q114" s="44"/>
      <c r="R114" s="44"/>
    </row>
    <row r="115" spans="1:18" ht="43.2" customHeight="1" x14ac:dyDescent="0.25">
      <c r="A115" s="42" t="s">
        <v>557</v>
      </c>
      <c r="B115" s="42" t="s">
        <v>558</v>
      </c>
      <c r="C115" s="42" t="s">
        <v>559</v>
      </c>
      <c r="D115" s="42" t="s">
        <v>560</v>
      </c>
      <c r="E115" s="42" t="s">
        <v>561</v>
      </c>
      <c r="F115" s="42" t="s">
        <v>486</v>
      </c>
      <c r="G115" s="45" t="s">
        <v>28</v>
      </c>
      <c r="H115" s="44"/>
      <c r="I115" s="44"/>
      <c r="J115" s="44"/>
      <c r="K115" s="45" t="s">
        <v>28</v>
      </c>
      <c r="L115" s="44"/>
      <c r="M115" s="44"/>
      <c r="N115" s="44"/>
      <c r="O115" s="44"/>
      <c r="P115" s="44"/>
      <c r="Q115" s="44"/>
      <c r="R115" s="44"/>
    </row>
    <row r="116" spans="1:18" ht="43.2" customHeight="1" x14ac:dyDescent="0.25">
      <c r="A116" s="42" t="s">
        <v>562</v>
      </c>
      <c r="B116" s="42" t="s">
        <v>563</v>
      </c>
      <c r="C116" s="42" t="s">
        <v>496</v>
      </c>
      <c r="D116" s="42" t="s">
        <v>564</v>
      </c>
      <c r="E116" s="42" t="s">
        <v>565</v>
      </c>
      <c r="F116" s="42" t="s">
        <v>274</v>
      </c>
      <c r="G116" s="45" t="s">
        <v>28</v>
      </c>
      <c r="H116" s="44"/>
      <c r="I116" s="44"/>
      <c r="J116" s="44"/>
      <c r="K116" s="45" t="s">
        <v>28</v>
      </c>
      <c r="L116" s="44"/>
      <c r="M116" s="44"/>
      <c r="N116" s="44"/>
      <c r="O116" s="44"/>
      <c r="P116" s="44"/>
      <c r="Q116" s="44"/>
      <c r="R116" s="44"/>
    </row>
    <row r="117" spans="1:18" ht="43.2" customHeight="1" x14ac:dyDescent="0.25">
      <c r="A117" s="42" t="s">
        <v>566</v>
      </c>
      <c r="B117" s="42" t="s">
        <v>567</v>
      </c>
      <c r="C117" s="42" t="s">
        <v>496</v>
      </c>
      <c r="D117" s="42" t="s">
        <v>568</v>
      </c>
      <c r="E117" s="42" t="s">
        <v>569</v>
      </c>
      <c r="F117" s="42" t="s">
        <v>274</v>
      </c>
      <c r="G117" s="45" t="s">
        <v>28</v>
      </c>
      <c r="H117" s="44"/>
      <c r="I117" s="44"/>
      <c r="J117" s="44"/>
      <c r="K117" s="45" t="s">
        <v>28</v>
      </c>
      <c r="L117" s="44"/>
      <c r="M117" s="44"/>
      <c r="N117" s="44"/>
      <c r="O117" s="44"/>
      <c r="P117" s="44"/>
      <c r="Q117" s="44"/>
      <c r="R117" s="44"/>
    </row>
    <row r="118" spans="1:18" ht="43.2" customHeight="1" x14ac:dyDescent="0.25">
      <c r="A118" s="42" t="s">
        <v>570</v>
      </c>
      <c r="B118" s="42" t="s">
        <v>571</v>
      </c>
      <c r="C118" s="42" t="s">
        <v>496</v>
      </c>
      <c r="D118" s="42" t="s">
        <v>572</v>
      </c>
      <c r="E118" s="42" t="s">
        <v>573</v>
      </c>
      <c r="F118" s="42" t="s">
        <v>133</v>
      </c>
      <c r="G118" s="45" t="s">
        <v>28</v>
      </c>
      <c r="H118" s="44"/>
      <c r="I118" s="44"/>
      <c r="J118" s="44"/>
      <c r="K118" s="45" t="s">
        <v>28</v>
      </c>
      <c r="L118" s="44"/>
      <c r="M118" s="44"/>
      <c r="N118" s="44"/>
      <c r="O118" s="44"/>
      <c r="P118" s="44"/>
      <c r="Q118" s="44"/>
      <c r="R118" s="44"/>
    </row>
    <row r="119" spans="1:18" ht="43.2" customHeight="1" x14ac:dyDescent="0.25">
      <c r="A119" s="42" t="s">
        <v>574</v>
      </c>
      <c r="B119" s="42" t="s">
        <v>575</v>
      </c>
      <c r="C119" s="42" t="s">
        <v>496</v>
      </c>
      <c r="D119" s="42" t="s">
        <v>576</v>
      </c>
      <c r="E119" s="42" t="s">
        <v>577</v>
      </c>
      <c r="F119" s="42" t="s">
        <v>274</v>
      </c>
      <c r="G119" s="45" t="s">
        <v>28</v>
      </c>
      <c r="H119" s="44"/>
      <c r="I119" s="44"/>
      <c r="J119" s="44"/>
      <c r="K119" s="45" t="s">
        <v>28</v>
      </c>
      <c r="L119" s="44"/>
      <c r="M119" s="44"/>
      <c r="N119" s="44"/>
      <c r="O119" s="44"/>
      <c r="P119" s="44"/>
      <c r="Q119" s="44"/>
      <c r="R119" s="44"/>
    </row>
    <row r="120" spans="1:18" ht="43.2" customHeight="1" x14ac:dyDescent="0.25">
      <c r="A120" s="42" t="s">
        <v>578</v>
      </c>
      <c r="B120" s="42" t="s">
        <v>579</v>
      </c>
      <c r="C120" s="42" t="s">
        <v>496</v>
      </c>
      <c r="D120" s="42" t="s">
        <v>580</v>
      </c>
      <c r="E120" s="42" t="s">
        <v>581</v>
      </c>
      <c r="F120" s="42" t="s">
        <v>274</v>
      </c>
      <c r="G120" s="45" t="s">
        <v>28</v>
      </c>
      <c r="H120" s="44"/>
      <c r="I120" s="44"/>
      <c r="J120" s="44"/>
      <c r="K120" s="45" t="s">
        <v>28</v>
      </c>
      <c r="L120" s="44"/>
      <c r="M120" s="44"/>
      <c r="N120" s="44"/>
      <c r="O120" s="44"/>
      <c r="P120" s="44"/>
      <c r="Q120" s="44"/>
      <c r="R120" s="44"/>
    </row>
    <row r="121" spans="1:18" ht="57.6" customHeight="1" x14ac:dyDescent="0.25">
      <c r="A121" s="42" t="s">
        <v>582</v>
      </c>
      <c r="B121" s="42" t="s">
        <v>583</v>
      </c>
      <c r="C121" s="42" t="s">
        <v>496</v>
      </c>
      <c r="D121" s="42" t="s">
        <v>584</v>
      </c>
      <c r="E121" s="42" t="s">
        <v>585</v>
      </c>
      <c r="F121" s="42" t="s">
        <v>274</v>
      </c>
      <c r="G121" s="45" t="s">
        <v>28</v>
      </c>
      <c r="H121" s="44"/>
      <c r="I121" s="44"/>
      <c r="J121" s="44"/>
      <c r="K121" s="45" t="s">
        <v>28</v>
      </c>
      <c r="L121" s="44"/>
      <c r="M121" s="44"/>
      <c r="N121" s="44"/>
      <c r="O121" s="44"/>
      <c r="P121" s="44"/>
      <c r="Q121" s="44"/>
      <c r="R121" s="44"/>
    </row>
    <row r="122" spans="1:18" ht="57.6" customHeight="1" x14ac:dyDescent="0.25">
      <c r="A122" s="42" t="s">
        <v>586</v>
      </c>
      <c r="B122" s="42" t="s">
        <v>587</v>
      </c>
      <c r="C122" s="42" t="s">
        <v>496</v>
      </c>
      <c r="D122" s="42" t="s">
        <v>588</v>
      </c>
      <c r="E122" s="42" t="s">
        <v>589</v>
      </c>
      <c r="F122" s="42" t="s">
        <v>274</v>
      </c>
      <c r="G122" s="45" t="s">
        <v>28</v>
      </c>
      <c r="H122" s="44"/>
      <c r="I122" s="44"/>
      <c r="J122" s="44"/>
      <c r="K122" s="45" t="s">
        <v>28</v>
      </c>
      <c r="L122" s="44"/>
      <c r="M122" s="44"/>
      <c r="N122" s="44"/>
      <c r="O122" s="44"/>
      <c r="P122" s="44"/>
      <c r="Q122" s="44"/>
      <c r="R122" s="44"/>
    </row>
    <row r="123" spans="1:18" ht="43.2" customHeight="1" x14ac:dyDescent="0.25">
      <c r="A123" s="53" t="s">
        <v>590</v>
      </c>
      <c r="B123" s="53" t="s">
        <v>591</v>
      </c>
      <c r="C123" s="53" t="s">
        <v>496</v>
      </c>
      <c r="D123" s="53" t="s">
        <v>592</v>
      </c>
      <c r="E123" s="53" t="s">
        <v>593</v>
      </c>
      <c r="F123" s="53" t="s">
        <v>133</v>
      </c>
      <c r="G123" s="45" t="s">
        <v>28</v>
      </c>
      <c r="H123" s="59"/>
      <c r="I123" s="59"/>
      <c r="J123" s="59"/>
      <c r="K123" s="45" t="s">
        <v>28</v>
      </c>
      <c r="L123" s="59"/>
      <c r="M123" s="59"/>
      <c r="N123" s="59"/>
      <c r="O123" s="59"/>
      <c r="P123" s="59"/>
      <c r="Q123" s="59"/>
      <c r="R123" s="59"/>
    </row>
    <row r="124" spans="1:18" ht="28.8" customHeight="1" x14ac:dyDescent="0.25">
      <c r="A124" s="53" t="s">
        <v>594</v>
      </c>
      <c r="B124" s="53" t="s">
        <v>595</v>
      </c>
      <c r="C124" s="53" t="s">
        <v>496</v>
      </c>
      <c r="D124" s="53" t="s">
        <v>596</v>
      </c>
      <c r="E124" s="53" t="s">
        <v>577</v>
      </c>
      <c r="F124" s="53" t="s">
        <v>274</v>
      </c>
      <c r="G124" s="45" t="s">
        <v>28</v>
      </c>
      <c r="H124" s="59"/>
      <c r="I124" s="59"/>
      <c r="J124" s="59"/>
      <c r="K124" s="45" t="s">
        <v>28</v>
      </c>
      <c r="L124" s="59"/>
      <c r="M124" s="59"/>
      <c r="N124" s="59"/>
      <c r="O124" s="59"/>
      <c r="P124" s="59"/>
      <c r="Q124" s="59"/>
      <c r="R124" s="59"/>
    </row>
    <row r="125" spans="1:18" ht="43.2" customHeight="1" x14ac:dyDescent="0.25">
      <c r="A125" s="53" t="s">
        <v>597</v>
      </c>
      <c r="B125" s="53" t="s">
        <v>598</v>
      </c>
      <c r="C125" s="53" t="s">
        <v>496</v>
      </c>
      <c r="D125" s="53" t="s">
        <v>599</v>
      </c>
      <c r="E125" s="53" t="s">
        <v>581</v>
      </c>
      <c r="F125" s="53" t="s">
        <v>274</v>
      </c>
      <c r="G125" s="45" t="s">
        <v>28</v>
      </c>
      <c r="H125" s="59"/>
      <c r="I125" s="59"/>
      <c r="J125" s="59"/>
      <c r="K125" s="45" t="s">
        <v>28</v>
      </c>
      <c r="L125" s="59"/>
      <c r="M125" s="59"/>
      <c r="N125" s="59"/>
      <c r="O125" s="59"/>
      <c r="P125" s="59"/>
      <c r="Q125" s="59"/>
      <c r="R125" s="59"/>
    </row>
    <row r="126" spans="1:18" ht="28.8" customHeight="1" x14ac:dyDescent="0.25">
      <c r="A126" s="53" t="s">
        <v>600</v>
      </c>
      <c r="B126" s="53" t="s">
        <v>601</v>
      </c>
      <c r="C126" s="53" t="s">
        <v>496</v>
      </c>
      <c r="D126" s="53" t="s">
        <v>602</v>
      </c>
      <c r="E126" s="53" t="s">
        <v>585</v>
      </c>
      <c r="F126" s="53" t="s">
        <v>274</v>
      </c>
      <c r="G126" s="45" t="s">
        <v>28</v>
      </c>
      <c r="H126" s="59"/>
      <c r="I126" s="59"/>
      <c r="J126" s="59"/>
      <c r="K126" s="45" t="s">
        <v>28</v>
      </c>
      <c r="L126" s="59"/>
      <c r="M126" s="59"/>
      <c r="N126" s="59"/>
      <c r="O126" s="59"/>
      <c r="P126" s="59"/>
      <c r="Q126" s="59"/>
      <c r="R126" s="59"/>
    </row>
    <row r="127" spans="1:18" ht="43.2" customHeight="1" x14ac:dyDescent="0.25">
      <c r="A127" s="53" t="s">
        <v>603</v>
      </c>
      <c r="B127" s="53" t="s">
        <v>604</v>
      </c>
      <c r="C127" s="53" t="s">
        <v>496</v>
      </c>
      <c r="D127" s="53" t="s">
        <v>605</v>
      </c>
      <c r="E127" s="53" t="s">
        <v>589</v>
      </c>
      <c r="F127" s="53" t="s">
        <v>274</v>
      </c>
      <c r="G127" s="45" t="s">
        <v>28</v>
      </c>
      <c r="H127" s="59"/>
      <c r="I127" s="59"/>
      <c r="J127" s="59"/>
      <c r="K127" s="45" t="s">
        <v>28</v>
      </c>
      <c r="L127" s="59"/>
      <c r="M127" s="59"/>
      <c r="N127" s="59"/>
      <c r="O127" s="59"/>
      <c r="P127" s="59"/>
      <c r="Q127" s="59"/>
      <c r="R127" s="59"/>
    </row>
    <row r="128" spans="1:18" ht="57.6" customHeight="1" x14ac:dyDescent="0.25">
      <c r="A128" s="53" t="s">
        <v>606</v>
      </c>
      <c r="B128" s="53" t="s">
        <v>607</v>
      </c>
      <c r="C128" s="53" t="s">
        <v>496</v>
      </c>
      <c r="D128" s="53" t="s">
        <v>608</v>
      </c>
      <c r="E128" s="47" t="s">
        <v>609</v>
      </c>
      <c r="F128" s="53" t="s">
        <v>610</v>
      </c>
      <c r="G128" s="45" t="s">
        <v>28</v>
      </c>
      <c r="H128" s="59"/>
      <c r="I128" s="59"/>
      <c r="J128" s="59"/>
      <c r="K128" s="45" t="s">
        <v>28</v>
      </c>
      <c r="L128" s="59"/>
      <c r="M128" s="59"/>
      <c r="N128" s="59"/>
      <c r="O128" s="59"/>
      <c r="P128" s="59"/>
      <c r="Q128" s="59"/>
      <c r="R128" s="59"/>
    </row>
    <row r="129" spans="1:18" ht="57.6" customHeight="1" x14ac:dyDescent="0.25">
      <c r="A129" s="53" t="s">
        <v>611</v>
      </c>
      <c r="B129" s="53" t="s">
        <v>612</v>
      </c>
      <c r="C129" s="53" t="s">
        <v>496</v>
      </c>
      <c r="D129" s="53" t="s">
        <v>613</v>
      </c>
      <c r="E129" s="53" t="s">
        <v>614</v>
      </c>
      <c r="F129" s="53" t="s">
        <v>615</v>
      </c>
      <c r="G129" s="45" t="s">
        <v>28</v>
      </c>
      <c r="H129" s="59"/>
      <c r="I129" s="59"/>
      <c r="J129" s="59"/>
      <c r="K129" s="45" t="s">
        <v>28</v>
      </c>
      <c r="L129" s="59"/>
      <c r="M129" s="59"/>
      <c r="N129" s="59"/>
      <c r="O129" s="59"/>
      <c r="P129" s="59"/>
      <c r="Q129" s="59"/>
      <c r="R129" s="59"/>
    </row>
    <row r="130" spans="1:18" ht="57.6" customHeight="1" x14ac:dyDescent="0.25">
      <c r="A130" s="53" t="s">
        <v>616</v>
      </c>
      <c r="B130" s="53" t="s">
        <v>617</v>
      </c>
      <c r="C130" s="53" t="s">
        <v>496</v>
      </c>
      <c r="D130" s="53" t="s">
        <v>618</v>
      </c>
      <c r="E130" s="53" t="s">
        <v>619</v>
      </c>
      <c r="F130" s="53" t="s">
        <v>620</v>
      </c>
      <c r="G130" s="45" t="s">
        <v>28</v>
      </c>
      <c r="H130" s="59"/>
      <c r="I130" s="59"/>
      <c r="J130" s="59"/>
      <c r="K130" s="45" t="s">
        <v>28</v>
      </c>
      <c r="L130" s="59"/>
      <c r="M130" s="59"/>
      <c r="N130" s="59"/>
      <c r="O130" s="59"/>
      <c r="P130" s="59"/>
      <c r="Q130" s="59"/>
      <c r="R130" s="59"/>
    </row>
    <row r="131" spans="1:18" ht="57.6" customHeight="1" x14ac:dyDescent="0.25">
      <c r="A131" s="53" t="s">
        <v>621</v>
      </c>
      <c r="B131" s="53" t="s">
        <v>622</v>
      </c>
      <c r="C131" s="53" t="s">
        <v>496</v>
      </c>
      <c r="D131" s="53" t="s">
        <v>623</v>
      </c>
      <c r="E131" s="53" t="s">
        <v>624</v>
      </c>
      <c r="F131" s="53" t="s">
        <v>625</v>
      </c>
      <c r="G131" s="45" t="s">
        <v>28</v>
      </c>
      <c r="H131" s="59"/>
      <c r="I131" s="59"/>
      <c r="J131" s="59"/>
      <c r="K131" s="45" t="s">
        <v>28</v>
      </c>
      <c r="L131" s="59"/>
      <c r="M131" s="59"/>
      <c r="N131" s="59"/>
      <c r="O131" s="59"/>
      <c r="P131" s="59"/>
      <c r="Q131" s="59"/>
      <c r="R131" s="59"/>
    </row>
    <row r="132" spans="1:18" ht="57.6" customHeight="1" x14ac:dyDescent="0.25">
      <c r="A132" s="53" t="s">
        <v>626</v>
      </c>
      <c r="B132" s="53" t="s">
        <v>627</v>
      </c>
      <c r="C132" s="53" t="s">
        <v>628</v>
      </c>
      <c r="D132" s="53" t="s">
        <v>629</v>
      </c>
      <c r="E132" s="53" t="s">
        <v>630</v>
      </c>
      <c r="F132" s="53" t="s">
        <v>631</v>
      </c>
      <c r="G132" s="45" t="s">
        <v>28</v>
      </c>
      <c r="H132" s="59"/>
      <c r="I132" s="59"/>
      <c r="J132" s="59"/>
      <c r="K132" s="45" t="s">
        <v>28</v>
      </c>
      <c r="L132" s="59"/>
      <c r="M132" s="59"/>
      <c r="N132" s="59"/>
      <c r="O132" s="59"/>
      <c r="P132" s="59"/>
      <c r="Q132" s="59"/>
      <c r="R132" s="59"/>
    </row>
    <row r="133" spans="1:18" ht="43.2" customHeight="1" x14ac:dyDescent="0.25">
      <c r="A133" s="53" t="s">
        <v>632</v>
      </c>
      <c r="B133" s="53" t="s">
        <v>633</v>
      </c>
      <c r="C133" s="53" t="s">
        <v>496</v>
      </c>
      <c r="D133" s="53" t="s">
        <v>634</v>
      </c>
      <c r="E133" s="53" t="s">
        <v>635</v>
      </c>
      <c r="F133" s="53" t="s">
        <v>133</v>
      </c>
      <c r="G133" s="45" t="s">
        <v>28</v>
      </c>
      <c r="H133" s="59"/>
      <c r="I133" s="59"/>
      <c r="J133" s="59"/>
      <c r="K133" s="45" t="s">
        <v>28</v>
      </c>
      <c r="L133" s="59"/>
      <c r="M133" s="59"/>
      <c r="N133" s="59"/>
      <c r="O133" s="59"/>
      <c r="P133" s="59"/>
      <c r="Q133" s="59"/>
      <c r="R133" s="59"/>
    </row>
    <row r="134" spans="1:18" ht="28.8" customHeight="1" x14ac:dyDescent="0.25">
      <c r="A134" s="42" t="s">
        <v>636</v>
      </c>
      <c r="B134" s="42" t="s">
        <v>637</v>
      </c>
      <c r="C134" s="42" t="s">
        <v>496</v>
      </c>
      <c r="D134" s="42" t="s">
        <v>638</v>
      </c>
      <c r="E134" s="42" t="s">
        <v>639</v>
      </c>
      <c r="F134" s="42" t="s">
        <v>610</v>
      </c>
      <c r="G134" s="45" t="s">
        <v>28</v>
      </c>
      <c r="H134" s="44"/>
      <c r="I134" s="44"/>
      <c r="J134" s="44"/>
      <c r="K134" s="45" t="s">
        <v>28</v>
      </c>
      <c r="L134" s="44"/>
      <c r="M134" s="44"/>
      <c r="N134" s="44"/>
      <c r="O134" s="44"/>
      <c r="P134" s="44"/>
      <c r="Q134" s="44"/>
      <c r="R134" s="44"/>
    </row>
    <row r="135" spans="1:18" ht="28.8" customHeight="1" x14ac:dyDescent="0.25">
      <c r="A135" s="42" t="s">
        <v>640</v>
      </c>
      <c r="B135" s="42" t="s">
        <v>641</v>
      </c>
      <c r="C135" s="42" t="s">
        <v>496</v>
      </c>
      <c r="D135" s="42" t="s">
        <v>642</v>
      </c>
      <c r="E135" s="42" t="s">
        <v>614</v>
      </c>
      <c r="F135" s="42" t="s">
        <v>615</v>
      </c>
      <c r="G135" s="45" t="s">
        <v>28</v>
      </c>
      <c r="H135" s="44"/>
      <c r="I135" s="44"/>
      <c r="J135" s="44"/>
      <c r="K135" s="45" t="s">
        <v>28</v>
      </c>
      <c r="L135" s="44"/>
      <c r="M135" s="44"/>
      <c r="N135" s="44"/>
      <c r="O135" s="44"/>
      <c r="P135" s="44"/>
      <c r="Q135" s="44"/>
      <c r="R135" s="44"/>
    </row>
    <row r="136" spans="1:18" ht="57.6" customHeight="1" x14ac:dyDescent="0.25">
      <c r="A136" s="42" t="s">
        <v>643</v>
      </c>
      <c r="B136" s="42" t="s">
        <v>644</v>
      </c>
      <c r="C136" s="42" t="s">
        <v>496</v>
      </c>
      <c r="D136" s="42" t="s">
        <v>645</v>
      </c>
      <c r="E136" s="42" t="s">
        <v>619</v>
      </c>
      <c r="F136" s="42" t="s">
        <v>620</v>
      </c>
      <c r="G136" s="45" t="s">
        <v>28</v>
      </c>
      <c r="H136" s="44"/>
      <c r="I136" s="44"/>
      <c r="J136" s="44"/>
      <c r="K136" s="45" t="s">
        <v>28</v>
      </c>
      <c r="L136" s="44"/>
      <c r="M136" s="44"/>
      <c r="N136" s="44"/>
      <c r="O136" s="44"/>
      <c r="P136" s="44"/>
      <c r="Q136" s="44"/>
      <c r="R136" s="44"/>
    </row>
    <row r="137" spans="1:18" ht="60" customHeight="1" x14ac:dyDescent="0.25">
      <c r="A137" s="42" t="s">
        <v>646</v>
      </c>
      <c r="B137" s="42" t="s">
        <v>647</v>
      </c>
      <c r="C137" s="42" t="s">
        <v>496</v>
      </c>
      <c r="D137" s="42" t="s">
        <v>648</v>
      </c>
      <c r="E137" s="42" t="s">
        <v>624</v>
      </c>
      <c r="F137" s="42" t="s">
        <v>625</v>
      </c>
      <c r="G137" s="45" t="s">
        <v>28</v>
      </c>
      <c r="H137" s="44"/>
      <c r="I137" s="44"/>
      <c r="J137" s="44"/>
      <c r="K137" s="45" t="s">
        <v>28</v>
      </c>
      <c r="L137" s="44"/>
      <c r="M137" s="44"/>
      <c r="N137" s="44"/>
      <c r="O137" s="44"/>
      <c r="P137" s="44"/>
      <c r="Q137" s="44"/>
      <c r="R137" s="44"/>
    </row>
    <row r="138" spans="1:18" s="52" customFormat="1" ht="45.6" customHeight="1" x14ac:dyDescent="0.25">
      <c r="A138" s="62" t="s">
        <v>649</v>
      </c>
      <c r="B138" s="62" t="s">
        <v>650</v>
      </c>
      <c r="C138" s="62" t="s">
        <v>651</v>
      </c>
      <c r="D138" s="62" t="s">
        <v>629</v>
      </c>
      <c r="E138" s="62" t="s">
        <v>630</v>
      </c>
      <c r="F138" s="62" t="s">
        <v>631</v>
      </c>
      <c r="G138" s="63" t="s">
        <v>28</v>
      </c>
      <c r="H138" s="73"/>
      <c r="I138" s="73"/>
      <c r="J138" s="73"/>
      <c r="K138" s="63" t="s">
        <v>28</v>
      </c>
      <c r="L138" s="73"/>
      <c r="M138" s="73"/>
      <c r="N138" s="73"/>
      <c r="O138" s="73"/>
      <c r="P138" s="73"/>
      <c r="Q138" s="73"/>
      <c r="R138" s="73"/>
    </row>
    <row r="139" spans="1:18" s="52" customFormat="1" ht="46.2" customHeight="1" x14ac:dyDescent="0.25">
      <c r="A139" s="68" t="s">
        <v>652</v>
      </c>
      <c r="B139" s="68" t="s">
        <v>653</v>
      </c>
      <c r="C139" s="72" t="s">
        <v>496</v>
      </c>
      <c r="D139" s="72" t="s">
        <v>654</v>
      </c>
      <c r="E139" s="89" t="s">
        <v>655</v>
      </c>
      <c r="F139" s="90" t="s">
        <v>656</v>
      </c>
      <c r="G139" s="63" t="s">
        <v>28</v>
      </c>
      <c r="H139" s="73"/>
      <c r="I139" s="73"/>
      <c r="J139" s="73"/>
      <c r="K139" s="63" t="s">
        <v>28</v>
      </c>
      <c r="L139" s="90"/>
      <c r="M139" s="90"/>
      <c r="N139" s="90"/>
      <c r="O139" s="70"/>
      <c r="P139" s="70"/>
      <c r="Q139" s="70"/>
      <c r="R139" s="70"/>
    </row>
    <row r="140" spans="1:18" s="52" customFormat="1" ht="48.6" customHeight="1" x14ac:dyDescent="0.25">
      <c r="A140" s="68" t="s">
        <v>657</v>
      </c>
      <c r="B140" s="68" t="s">
        <v>658</v>
      </c>
      <c r="C140" s="72" t="s">
        <v>496</v>
      </c>
      <c r="D140" s="84" t="s">
        <v>659</v>
      </c>
      <c r="E140" s="72" t="s">
        <v>660</v>
      </c>
      <c r="F140" s="70" t="s">
        <v>661</v>
      </c>
      <c r="G140" s="45" t="s">
        <v>28</v>
      </c>
      <c r="H140" s="83"/>
      <c r="I140" s="83"/>
      <c r="J140" s="83"/>
      <c r="K140" s="45" t="s">
        <v>28</v>
      </c>
      <c r="L140" s="70"/>
      <c r="M140" s="70"/>
      <c r="N140" s="70"/>
      <c r="O140" s="86"/>
      <c r="P140" s="70"/>
      <c r="Q140" s="70"/>
      <c r="R140" s="70"/>
    </row>
    <row r="141" spans="1:18" ht="43.2" customHeight="1" x14ac:dyDescent="0.25">
      <c r="A141" s="65" t="s">
        <v>662</v>
      </c>
      <c r="B141" s="65" t="s">
        <v>663</v>
      </c>
      <c r="C141" s="65" t="s">
        <v>496</v>
      </c>
      <c r="D141" s="85" t="s">
        <v>664</v>
      </c>
      <c r="E141" s="68" t="s">
        <v>665</v>
      </c>
      <c r="F141" s="68" t="s">
        <v>666</v>
      </c>
      <c r="G141" s="45" t="s">
        <v>28</v>
      </c>
      <c r="H141" s="83"/>
      <c r="I141" s="83"/>
      <c r="J141" s="83"/>
      <c r="K141" s="45" t="s">
        <v>28</v>
      </c>
      <c r="L141" s="83"/>
      <c r="M141" s="83"/>
      <c r="N141" s="83"/>
      <c r="O141" s="87"/>
      <c r="P141" s="74"/>
      <c r="Q141" s="74"/>
      <c r="R141" s="74"/>
    </row>
    <row r="142" spans="1:18" ht="72" customHeight="1" x14ac:dyDescent="0.25">
      <c r="A142" s="42" t="s">
        <v>667</v>
      </c>
      <c r="B142" s="42" t="s">
        <v>668</v>
      </c>
      <c r="C142" s="42" t="s">
        <v>496</v>
      </c>
      <c r="D142" s="61" t="s">
        <v>669</v>
      </c>
      <c r="E142" s="68" t="s">
        <v>670</v>
      </c>
      <c r="F142" s="68" t="s">
        <v>671</v>
      </c>
      <c r="G142" s="45" t="s">
        <v>28</v>
      </c>
      <c r="H142" s="83"/>
      <c r="I142" s="83"/>
      <c r="J142" s="83"/>
      <c r="K142" s="45" t="s">
        <v>28</v>
      </c>
      <c r="L142" s="83"/>
      <c r="M142" s="83"/>
      <c r="N142" s="83"/>
      <c r="O142" s="88"/>
      <c r="P142" s="44"/>
      <c r="Q142" s="44"/>
      <c r="R142" s="44"/>
    </row>
    <row r="143" spans="1:18" ht="72.599999999999994" customHeight="1" x14ac:dyDescent="0.25">
      <c r="A143" s="42" t="s">
        <v>672</v>
      </c>
      <c r="B143" s="42" t="s">
        <v>673</v>
      </c>
      <c r="C143" s="42" t="s">
        <v>496</v>
      </c>
      <c r="D143" s="61" t="s">
        <v>674</v>
      </c>
      <c r="E143" s="68" t="s">
        <v>675</v>
      </c>
      <c r="F143" s="68"/>
      <c r="G143" s="45" t="s">
        <v>28</v>
      </c>
      <c r="H143" s="83"/>
      <c r="I143" s="83"/>
      <c r="J143" s="83"/>
      <c r="K143" s="45" t="s">
        <v>28</v>
      </c>
      <c r="L143" s="83"/>
      <c r="M143" s="83"/>
      <c r="N143" s="83"/>
      <c r="O143" s="88"/>
      <c r="P143" s="44"/>
      <c r="Q143" s="44"/>
      <c r="R143" s="44"/>
    </row>
    <row r="144" spans="1:18" ht="43.2" customHeight="1" x14ac:dyDescent="0.25">
      <c r="A144" s="42" t="s">
        <v>676</v>
      </c>
      <c r="B144" s="42" t="s">
        <v>677</v>
      </c>
      <c r="C144" s="42" t="s">
        <v>496</v>
      </c>
      <c r="D144" s="61" t="s">
        <v>678</v>
      </c>
      <c r="E144" s="68" t="s">
        <v>679</v>
      </c>
      <c r="F144" s="68"/>
      <c r="G144" s="45" t="s">
        <v>28</v>
      </c>
      <c r="H144" s="83"/>
      <c r="I144" s="83"/>
      <c r="J144" s="83"/>
      <c r="K144" s="45" t="s">
        <v>28</v>
      </c>
      <c r="L144" s="83"/>
      <c r="M144" s="83"/>
      <c r="N144" s="83"/>
      <c r="O144" s="88"/>
      <c r="P144" s="44"/>
      <c r="Q144" s="44"/>
      <c r="R144" s="44"/>
    </row>
    <row r="145" spans="1:18" ht="43.2" customHeight="1" x14ac:dyDescent="0.25">
      <c r="A145" s="42" t="s">
        <v>680</v>
      </c>
      <c r="B145" s="42" t="s">
        <v>681</v>
      </c>
      <c r="C145" s="42" t="s">
        <v>496</v>
      </c>
      <c r="D145" s="61" t="s">
        <v>682</v>
      </c>
      <c r="E145" s="68" t="s">
        <v>683</v>
      </c>
      <c r="F145" s="68"/>
      <c r="G145" s="45" t="s">
        <v>28</v>
      </c>
      <c r="H145" s="83"/>
      <c r="I145" s="83"/>
      <c r="J145" s="83"/>
      <c r="K145" s="45" t="s">
        <v>28</v>
      </c>
      <c r="L145" s="83"/>
      <c r="M145" s="83"/>
      <c r="N145" s="83"/>
      <c r="O145" s="88"/>
      <c r="P145" s="44"/>
      <c r="Q145" s="44"/>
      <c r="R145" s="44"/>
    </row>
    <row r="146" spans="1:18" ht="43.8" customHeight="1" x14ac:dyDescent="0.25">
      <c r="A146" s="42" t="s">
        <v>684</v>
      </c>
      <c r="B146" s="42" t="s">
        <v>685</v>
      </c>
      <c r="C146" s="42" t="s">
        <v>496</v>
      </c>
      <c r="D146" s="42" t="s">
        <v>686</v>
      </c>
      <c r="E146" s="65" t="s">
        <v>635</v>
      </c>
      <c r="F146" s="65" t="s">
        <v>133</v>
      </c>
      <c r="G146" s="66" t="s">
        <v>28</v>
      </c>
      <c r="H146" s="74"/>
      <c r="I146" s="74"/>
      <c r="J146" s="74"/>
      <c r="K146" s="66" t="s">
        <v>28</v>
      </c>
      <c r="L146" s="74"/>
      <c r="M146" s="74"/>
      <c r="N146" s="74"/>
      <c r="O146" s="44"/>
      <c r="P146" s="44"/>
      <c r="Q146" s="44"/>
      <c r="R146" s="44"/>
    </row>
    <row r="147" spans="1:18" ht="28.8" customHeight="1" x14ac:dyDescent="0.25">
      <c r="A147" s="42" t="s">
        <v>687</v>
      </c>
      <c r="B147" s="42" t="s">
        <v>688</v>
      </c>
      <c r="C147" s="42" t="s">
        <v>496</v>
      </c>
      <c r="D147" s="42" t="s">
        <v>689</v>
      </c>
      <c r="E147" s="42" t="s">
        <v>690</v>
      </c>
      <c r="F147" s="42" t="s">
        <v>691</v>
      </c>
      <c r="G147" s="45" t="s">
        <v>28</v>
      </c>
      <c r="H147" s="44"/>
      <c r="I147" s="44"/>
      <c r="J147" s="44"/>
      <c r="K147" s="45" t="s">
        <v>28</v>
      </c>
      <c r="L147" s="44"/>
      <c r="M147" s="44"/>
      <c r="N147" s="44"/>
      <c r="O147" s="44"/>
      <c r="P147" s="44"/>
      <c r="Q147" s="44"/>
      <c r="R147" s="44"/>
    </row>
    <row r="148" spans="1:18" s="52" customFormat="1" ht="31.8" customHeight="1" x14ac:dyDescent="0.25">
      <c r="A148" s="42" t="s">
        <v>692</v>
      </c>
      <c r="B148" s="62" t="s">
        <v>693</v>
      </c>
      <c r="C148" s="62" t="s">
        <v>694</v>
      </c>
      <c r="D148" s="62" t="s">
        <v>695</v>
      </c>
      <c r="E148" s="62" t="s">
        <v>696</v>
      </c>
      <c r="F148" s="62" t="s">
        <v>691</v>
      </c>
      <c r="G148" s="63" t="s">
        <v>28</v>
      </c>
      <c r="H148" s="73"/>
      <c r="I148" s="73"/>
      <c r="J148" s="73"/>
      <c r="K148" s="63" t="s">
        <v>28</v>
      </c>
      <c r="L148" s="73"/>
      <c r="M148" s="73"/>
      <c r="N148" s="73"/>
      <c r="O148" s="73"/>
      <c r="P148" s="73"/>
      <c r="Q148" s="73"/>
      <c r="R148" s="73"/>
    </row>
    <row r="149" spans="1:18" s="52" customFormat="1" ht="45" customHeight="1" x14ac:dyDescent="0.25">
      <c r="A149" s="61" t="s">
        <v>697</v>
      </c>
      <c r="B149" s="68" t="s">
        <v>698</v>
      </c>
      <c r="C149" s="72" t="s">
        <v>496</v>
      </c>
      <c r="D149" s="72" t="s">
        <v>699</v>
      </c>
      <c r="E149" s="72" t="s">
        <v>700</v>
      </c>
      <c r="F149" s="70"/>
      <c r="G149" s="45" t="s">
        <v>28</v>
      </c>
      <c r="H149" s="83"/>
      <c r="I149" s="83"/>
      <c r="J149" s="83"/>
      <c r="K149" s="45" t="s">
        <v>28</v>
      </c>
      <c r="L149" s="70"/>
      <c r="M149" s="70"/>
      <c r="N149" s="70"/>
      <c r="O149" s="70"/>
      <c r="P149" s="70"/>
      <c r="Q149" s="70"/>
      <c r="R149" s="70"/>
    </row>
    <row r="150" spans="1:18" ht="43.2" customHeight="1" x14ac:dyDescent="0.25">
      <c r="A150" s="61" t="s">
        <v>701</v>
      </c>
      <c r="B150" s="68" t="s">
        <v>702</v>
      </c>
      <c r="C150" s="68" t="s">
        <v>496</v>
      </c>
      <c r="D150" s="68" t="s">
        <v>703</v>
      </c>
      <c r="E150" s="68" t="s">
        <v>704</v>
      </c>
      <c r="F150" s="68" t="s">
        <v>705</v>
      </c>
      <c r="G150" s="45" t="s">
        <v>28</v>
      </c>
      <c r="H150" s="83"/>
      <c r="I150" s="83"/>
      <c r="J150" s="83"/>
      <c r="K150" s="45" t="s">
        <v>28</v>
      </c>
      <c r="L150" s="83"/>
      <c r="M150" s="83"/>
      <c r="N150" s="83"/>
      <c r="O150" s="83"/>
      <c r="P150" s="83"/>
      <c r="Q150" s="83"/>
      <c r="R150" s="83"/>
    </row>
    <row r="151" spans="1:18" ht="57.6" customHeight="1" x14ac:dyDescent="0.25">
      <c r="A151" s="61" t="s">
        <v>706</v>
      </c>
      <c r="B151" s="68" t="s">
        <v>707</v>
      </c>
      <c r="C151" s="68" t="s">
        <v>496</v>
      </c>
      <c r="D151" s="68" t="s">
        <v>708</v>
      </c>
      <c r="E151" s="68" t="s">
        <v>709</v>
      </c>
      <c r="F151" s="68" t="s">
        <v>705</v>
      </c>
      <c r="G151" s="45" t="s">
        <v>28</v>
      </c>
      <c r="H151" s="83"/>
      <c r="I151" s="83"/>
      <c r="J151" s="83"/>
      <c r="K151" s="45" t="s">
        <v>28</v>
      </c>
      <c r="L151" s="83"/>
      <c r="M151" s="83"/>
      <c r="N151" s="83"/>
      <c r="O151" s="83"/>
      <c r="P151" s="83"/>
      <c r="Q151" s="83"/>
      <c r="R151" s="83"/>
    </row>
    <row r="152" spans="1:18" ht="57.6" customHeight="1" x14ac:dyDescent="0.25">
      <c r="A152" s="61" t="s">
        <v>710</v>
      </c>
      <c r="B152" s="68" t="s">
        <v>711</v>
      </c>
      <c r="C152" s="68" t="s">
        <v>496</v>
      </c>
      <c r="D152" s="68" t="s">
        <v>712</v>
      </c>
      <c r="E152" s="68" t="s">
        <v>713</v>
      </c>
      <c r="F152" s="68" t="s">
        <v>705</v>
      </c>
      <c r="G152" s="45" t="s">
        <v>28</v>
      </c>
      <c r="H152" s="83"/>
      <c r="I152" s="83"/>
      <c r="J152" s="83"/>
      <c r="K152" s="45" t="s">
        <v>28</v>
      </c>
      <c r="L152" s="83"/>
      <c r="M152" s="83"/>
      <c r="N152" s="83"/>
      <c r="O152" s="83"/>
      <c r="P152" s="83"/>
      <c r="Q152" s="83"/>
      <c r="R152" s="83"/>
    </row>
    <row r="153" spans="1:18" ht="57.6" customHeight="1" x14ac:dyDescent="0.25">
      <c r="A153" s="61" t="s">
        <v>714</v>
      </c>
      <c r="B153" s="68" t="s">
        <v>715</v>
      </c>
      <c r="C153" s="68" t="s">
        <v>496</v>
      </c>
      <c r="D153" s="68" t="s">
        <v>716</v>
      </c>
      <c r="E153" s="68" t="s">
        <v>717</v>
      </c>
      <c r="F153" s="68" t="s">
        <v>705</v>
      </c>
      <c r="G153" s="45" t="s">
        <v>28</v>
      </c>
      <c r="H153" s="83"/>
      <c r="I153" s="83"/>
      <c r="J153" s="83"/>
      <c r="K153" s="45" t="s">
        <v>28</v>
      </c>
      <c r="L153" s="83"/>
      <c r="M153" s="83"/>
      <c r="N153" s="83"/>
      <c r="O153" s="83"/>
      <c r="P153" s="83"/>
      <c r="Q153" s="83"/>
      <c r="R153" s="83"/>
    </row>
    <row r="154" spans="1:18" ht="57.6" customHeight="1" x14ac:dyDescent="0.25">
      <c r="A154" s="61" t="s">
        <v>718</v>
      </c>
      <c r="B154" s="68" t="s">
        <v>719</v>
      </c>
      <c r="C154" s="68" t="s">
        <v>720</v>
      </c>
      <c r="D154" s="68" t="s">
        <v>721</v>
      </c>
      <c r="E154" s="68" t="s">
        <v>722</v>
      </c>
      <c r="F154" s="68"/>
      <c r="G154" s="45" t="s">
        <v>28</v>
      </c>
      <c r="H154" s="83"/>
      <c r="I154" s="83"/>
      <c r="J154" s="83"/>
      <c r="K154" s="45" t="s">
        <v>28</v>
      </c>
      <c r="L154" s="83"/>
      <c r="M154" s="83"/>
      <c r="N154" s="83"/>
      <c r="O154" s="83"/>
      <c r="P154" s="83"/>
      <c r="Q154" s="83"/>
      <c r="R154" s="83"/>
    </row>
    <row r="155" spans="1:18" ht="57.6" customHeight="1" x14ac:dyDescent="0.25">
      <c r="A155" s="61" t="s">
        <v>723</v>
      </c>
      <c r="B155" s="68" t="s">
        <v>724</v>
      </c>
      <c r="C155" s="68" t="s">
        <v>496</v>
      </c>
      <c r="D155" s="68" t="s">
        <v>725</v>
      </c>
      <c r="E155" s="68" t="s">
        <v>726</v>
      </c>
      <c r="F155" s="68" t="s">
        <v>164</v>
      </c>
      <c r="G155" s="45" t="s">
        <v>28</v>
      </c>
      <c r="H155" s="83"/>
      <c r="I155" s="83"/>
      <c r="J155" s="83"/>
      <c r="K155" s="45" t="s">
        <v>28</v>
      </c>
      <c r="L155" s="83"/>
      <c r="M155" s="83"/>
      <c r="N155" s="83"/>
      <c r="O155" s="83"/>
      <c r="P155" s="83"/>
      <c r="Q155" s="83"/>
      <c r="R155" s="83"/>
    </row>
    <row r="156" spans="1:18" ht="57.6" customHeight="1" x14ac:dyDescent="0.25">
      <c r="A156" s="61" t="s">
        <v>727</v>
      </c>
      <c r="B156" s="68" t="s">
        <v>728</v>
      </c>
      <c r="C156" s="68" t="s">
        <v>729</v>
      </c>
      <c r="D156" s="68" t="s">
        <v>730</v>
      </c>
      <c r="E156" s="68" t="s">
        <v>731</v>
      </c>
      <c r="F156" s="68"/>
      <c r="G156" s="45" t="s">
        <v>28</v>
      </c>
      <c r="H156" s="83"/>
      <c r="I156" s="83"/>
      <c r="J156" s="83"/>
      <c r="K156" s="45" t="s">
        <v>28</v>
      </c>
      <c r="L156" s="83"/>
      <c r="M156" s="83"/>
      <c r="N156" s="83"/>
      <c r="O156" s="83"/>
      <c r="P156" s="83"/>
      <c r="Q156" s="83"/>
      <c r="R156" s="83"/>
    </row>
    <row r="157" spans="1:18" s="52" customFormat="1" ht="58.8" customHeight="1" x14ac:dyDescent="0.25">
      <c r="A157" s="61" t="s">
        <v>732</v>
      </c>
      <c r="B157" s="68" t="s">
        <v>733</v>
      </c>
      <c r="C157" s="68" t="s">
        <v>729</v>
      </c>
      <c r="D157" s="68" t="s">
        <v>734</v>
      </c>
      <c r="E157" s="68" t="s">
        <v>735</v>
      </c>
      <c r="F157" s="68"/>
      <c r="G157" s="45" t="s">
        <v>28</v>
      </c>
      <c r="H157" s="83"/>
      <c r="I157" s="83"/>
      <c r="J157" s="83"/>
      <c r="K157" s="45" t="s">
        <v>28</v>
      </c>
      <c r="L157" s="83"/>
      <c r="M157" s="83"/>
      <c r="N157" s="83"/>
      <c r="O157" s="83"/>
      <c r="P157" s="83"/>
      <c r="Q157" s="83"/>
      <c r="R157" s="83"/>
    </row>
    <row r="158" spans="1:18" s="52" customFormat="1" ht="59.4" customHeight="1" x14ac:dyDescent="0.25">
      <c r="A158" s="61" t="s">
        <v>736</v>
      </c>
      <c r="B158" s="68" t="s">
        <v>737</v>
      </c>
      <c r="C158" s="72" t="s">
        <v>516</v>
      </c>
      <c r="D158" s="72" t="s">
        <v>738</v>
      </c>
      <c r="E158" s="72" t="s">
        <v>739</v>
      </c>
      <c r="F158" s="70"/>
      <c r="G158" s="45" t="s">
        <v>28</v>
      </c>
      <c r="H158" s="70"/>
      <c r="I158" s="70"/>
      <c r="J158" s="70"/>
      <c r="K158" s="45" t="s">
        <v>28</v>
      </c>
      <c r="L158" s="70"/>
      <c r="M158" s="70"/>
      <c r="N158" s="70"/>
      <c r="O158" s="70"/>
      <c r="P158" s="70"/>
      <c r="Q158" s="70"/>
      <c r="R158" s="70"/>
    </row>
    <row r="159" spans="1:18" s="52" customFormat="1" ht="44.4" customHeight="1" x14ac:dyDescent="0.25">
      <c r="A159" s="61" t="s">
        <v>740</v>
      </c>
      <c r="B159" s="68" t="s">
        <v>741</v>
      </c>
      <c r="C159" s="72" t="s">
        <v>475</v>
      </c>
      <c r="D159" s="72" t="s">
        <v>742</v>
      </c>
      <c r="E159" s="72" t="s">
        <v>743</v>
      </c>
      <c r="F159" s="70" t="s">
        <v>323</v>
      </c>
      <c r="G159" s="45" t="s">
        <v>28</v>
      </c>
      <c r="H159" s="70"/>
      <c r="I159" s="70"/>
      <c r="J159" s="70"/>
      <c r="K159" s="45" t="s">
        <v>28</v>
      </c>
      <c r="L159" s="70"/>
      <c r="M159" s="70"/>
      <c r="N159" s="70"/>
      <c r="O159" s="70"/>
      <c r="P159" s="70"/>
      <c r="Q159" s="70"/>
      <c r="R159" s="70"/>
    </row>
    <row r="160" spans="1:18" s="81" customFormat="1" ht="18.600000000000001" customHeight="1" x14ac:dyDescent="0.25">
      <c r="A160" s="80"/>
      <c r="B160" s="138" t="s">
        <v>410</v>
      </c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40"/>
    </row>
    <row r="161" spans="1:18" s="81" customFormat="1" ht="18.600000000000001" customHeight="1" x14ac:dyDescent="0.25">
      <c r="A161" s="82"/>
      <c r="B161" s="141" t="s">
        <v>411</v>
      </c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3"/>
    </row>
    <row r="162" spans="1:18" ht="28.8" customHeight="1" x14ac:dyDescent="0.25">
      <c r="A162" s="42" t="s">
        <v>744</v>
      </c>
      <c r="B162" s="42" t="s">
        <v>745</v>
      </c>
      <c r="C162" s="42" t="s">
        <v>746</v>
      </c>
      <c r="D162" s="42" t="s">
        <v>415</v>
      </c>
      <c r="E162" s="42" t="s">
        <v>416</v>
      </c>
      <c r="F162" s="42"/>
      <c r="G162" s="45" t="s">
        <v>28</v>
      </c>
      <c r="H162" s="44"/>
      <c r="I162" s="44"/>
      <c r="J162" s="44"/>
      <c r="K162" s="45" t="s">
        <v>28</v>
      </c>
      <c r="L162" s="44"/>
      <c r="M162" s="44"/>
      <c r="N162" s="44"/>
      <c r="O162" s="44"/>
      <c r="P162" s="44"/>
      <c r="Q162" s="44"/>
      <c r="R162" s="44"/>
    </row>
    <row r="163" spans="1:18" ht="28.8" customHeight="1" x14ac:dyDescent="0.25">
      <c r="A163" s="42" t="s">
        <v>747</v>
      </c>
      <c r="B163" s="42" t="s">
        <v>748</v>
      </c>
      <c r="C163" s="42" t="s">
        <v>746</v>
      </c>
      <c r="D163" s="42" t="s">
        <v>419</v>
      </c>
      <c r="E163" s="42" t="s">
        <v>420</v>
      </c>
      <c r="F163" s="42"/>
      <c r="G163" s="45" t="s">
        <v>28</v>
      </c>
      <c r="H163" s="44"/>
      <c r="I163" s="44"/>
      <c r="J163" s="44"/>
      <c r="K163" s="45" t="s">
        <v>28</v>
      </c>
      <c r="L163" s="44"/>
      <c r="M163" s="44"/>
      <c r="N163" s="44"/>
      <c r="O163" s="44"/>
      <c r="P163" s="44"/>
      <c r="Q163" s="44"/>
      <c r="R163" s="44"/>
    </row>
    <row r="164" spans="1:18" ht="28.8" customHeight="1" x14ac:dyDescent="0.25">
      <c r="A164" s="42" t="s">
        <v>749</v>
      </c>
      <c r="B164" s="42" t="s">
        <v>750</v>
      </c>
      <c r="C164" s="42" t="s">
        <v>746</v>
      </c>
      <c r="D164" s="42" t="s">
        <v>423</v>
      </c>
      <c r="E164" s="62" t="s">
        <v>424</v>
      </c>
      <c r="F164" s="62"/>
      <c r="G164" s="63" t="s">
        <v>28</v>
      </c>
      <c r="H164" s="73"/>
      <c r="I164" s="73"/>
      <c r="J164" s="73"/>
      <c r="K164" s="63" t="s">
        <v>28</v>
      </c>
      <c r="L164" s="73"/>
      <c r="M164" s="73"/>
      <c r="N164" s="44"/>
      <c r="O164" s="44"/>
      <c r="P164" s="44"/>
      <c r="Q164" s="44"/>
      <c r="R164" s="44"/>
    </row>
    <row r="165" spans="1:18" ht="43.2" customHeight="1" x14ac:dyDescent="0.25">
      <c r="A165" s="42" t="s">
        <v>751</v>
      </c>
      <c r="B165" s="42" t="s">
        <v>752</v>
      </c>
      <c r="C165" s="42" t="s">
        <v>746</v>
      </c>
      <c r="D165" s="61" t="s">
        <v>427</v>
      </c>
      <c r="E165" s="68" t="s">
        <v>428</v>
      </c>
      <c r="F165" s="68"/>
      <c r="G165" s="45" t="s">
        <v>28</v>
      </c>
      <c r="H165" s="83"/>
      <c r="I165" s="83"/>
      <c r="J165" s="83"/>
      <c r="K165" s="45" t="s">
        <v>28</v>
      </c>
      <c r="L165" s="83"/>
      <c r="M165" s="83"/>
      <c r="N165" s="88"/>
      <c r="O165" s="44"/>
      <c r="P165" s="44"/>
      <c r="Q165" s="44"/>
      <c r="R165" s="44"/>
    </row>
    <row r="166" spans="1:18" s="52" customFormat="1" ht="50.4" customHeight="1" x14ac:dyDescent="0.25">
      <c r="A166" s="42" t="s">
        <v>753</v>
      </c>
      <c r="B166" s="62" t="s">
        <v>754</v>
      </c>
      <c r="C166" s="62" t="s">
        <v>746</v>
      </c>
      <c r="D166" s="91" t="s">
        <v>431</v>
      </c>
      <c r="E166" s="68" t="s">
        <v>428</v>
      </c>
      <c r="F166" s="68"/>
      <c r="G166" s="45" t="s">
        <v>28</v>
      </c>
      <c r="H166" s="83"/>
      <c r="I166" s="83"/>
      <c r="J166" s="83"/>
      <c r="K166" s="45" t="s">
        <v>28</v>
      </c>
      <c r="L166" s="83"/>
      <c r="M166" s="83"/>
      <c r="N166" s="93"/>
      <c r="O166" s="73"/>
      <c r="P166" s="73"/>
      <c r="Q166" s="73"/>
      <c r="R166" s="73"/>
    </row>
    <row r="167" spans="1:18" s="52" customFormat="1" ht="42.6" customHeight="1" x14ac:dyDescent="0.25">
      <c r="A167" s="61" t="s">
        <v>755</v>
      </c>
      <c r="B167" s="68" t="s">
        <v>756</v>
      </c>
      <c r="C167" s="72" t="s">
        <v>746</v>
      </c>
      <c r="D167" s="84" t="s">
        <v>434</v>
      </c>
      <c r="E167" s="72" t="s">
        <v>435</v>
      </c>
      <c r="F167" s="70"/>
      <c r="G167" s="45" t="s">
        <v>28</v>
      </c>
      <c r="H167" s="83"/>
      <c r="I167" s="83"/>
      <c r="J167" s="83"/>
      <c r="K167" s="45" t="s">
        <v>28</v>
      </c>
      <c r="L167" s="70"/>
      <c r="M167" s="70"/>
      <c r="N167" s="86"/>
      <c r="O167" s="70"/>
      <c r="P167" s="70"/>
      <c r="Q167" s="70"/>
      <c r="R167" s="70"/>
    </row>
    <row r="168" spans="1:18" ht="51.6" customHeight="1" x14ac:dyDescent="0.25">
      <c r="A168" s="42" t="s">
        <v>757</v>
      </c>
      <c r="B168" s="65" t="s">
        <v>758</v>
      </c>
      <c r="C168" s="65" t="s">
        <v>746</v>
      </c>
      <c r="D168" s="85" t="s">
        <v>438</v>
      </c>
      <c r="E168" s="68" t="s">
        <v>439</v>
      </c>
      <c r="F168" s="68"/>
      <c r="G168" s="45" t="s">
        <v>28</v>
      </c>
      <c r="H168" s="83"/>
      <c r="I168" s="83"/>
      <c r="J168" s="83"/>
      <c r="K168" s="45" t="s">
        <v>28</v>
      </c>
      <c r="L168" s="83"/>
      <c r="M168" s="83"/>
      <c r="N168" s="87"/>
      <c r="O168" s="74"/>
      <c r="P168" s="74"/>
      <c r="Q168" s="74"/>
      <c r="R168" s="74"/>
    </row>
    <row r="169" spans="1:18" ht="28.8" customHeight="1" x14ac:dyDescent="0.25">
      <c r="A169" s="47" t="s">
        <v>759</v>
      </c>
      <c r="B169" s="47" t="s">
        <v>760</v>
      </c>
      <c r="C169" s="57" t="s">
        <v>746</v>
      </c>
      <c r="D169" s="92" t="s">
        <v>442</v>
      </c>
      <c r="E169" s="72" t="s">
        <v>439</v>
      </c>
      <c r="F169" s="70"/>
      <c r="G169" s="45" t="s">
        <v>28</v>
      </c>
      <c r="H169" s="83"/>
      <c r="I169" s="83"/>
      <c r="J169" s="83"/>
      <c r="K169" s="45" t="s">
        <v>28</v>
      </c>
      <c r="L169" s="70"/>
      <c r="M169" s="70"/>
      <c r="N169" s="94"/>
      <c r="O169" s="51"/>
      <c r="P169" s="51"/>
      <c r="Q169" s="51"/>
      <c r="R169" s="51"/>
    </row>
    <row r="170" spans="1:18" ht="21" customHeight="1" x14ac:dyDescent="0.25">
      <c r="A170" s="55"/>
      <c r="B170" s="144" t="s">
        <v>443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6"/>
    </row>
    <row r="171" spans="1:18" ht="28.8" customHeight="1" x14ac:dyDescent="0.25">
      <c r="A171" s="42" t="s">
        <v>761</v>
      </c>
      <c r="B171" s="42" t="s">
        <v>762</v>
      </c>
      <c r="C171" s="42" t="s">
        <v>746</v>
      </c>
      <c r="D171" s="42" t="s">
        <v>446</v>
      </c>
      <c r="E171" s="42" t="s">
        <v>447</v>
      </c>
      <c r="F171" s="42"/>
      <c r="G171" s="45" t="s">
        <v>28</v>
      </c>
      <c r="H171" s="44"/>
      <c r="I171" s="44"/>
      <c r="J171" s="44"/>
      <c r="K171" s="45" t="s">
        <v>28</v>
      </c>
      <c r="L171" s="44"/>
      <c r="M171" s="44"/>
      <c r="N171" s="44"/>
      <c r="O171" s="44"/>
      <c r="P171" s="44"/>
      <c r="Q171" s="44"/>
      <c r="R171" s="44"/>
    </row>
    <row r="172" spans="1:18" ht="43.2" customHeight="1" x14ac:dyDescent="0.25">
      <c r="A172" s="42" t="s">
        <v>763</v>
      </c>
      <c r="B172" s="42" t="s">
        <v>764</v>
      </c>
      <c r="C172" s="42" t="s">
        <v>746</v>
      </c>
      <c r="D172" s="42" t="s">
        <v>450</v>
      </c>
      <c r="E172" s="42" t="s">
        <v>447</v>
      </c>
      <c r="F172" s="42"/>
      <c r="G172" s="45" t="s">
        <v>28</v>
      </c>
      <c r="H172" s="44"/>
      <c r="I172" s="44"/>
      <c r="J172" s="44"/>
      <c r="K172" s="45" t="s">
        <v>28</v>
      </c>
      <c r="L172" s="44"/>
      <c r="M172" s="44"/>
      <c r="N172" s="44"/>
      <c r="O172" s="44"/>
      <c r="P172" s="44"/>
      <c r="Q172" s="44"/>
      <c r="R172" s="44"/>
    </row>
    <row r="173" spans="1:18" ht="57.6" customHeight="1" x14ac:dyDescent="0.25">
      <c r="A173" s="42" t="s">
        <v>765</v>
      </c>
      <c r="B173" s="42" t="s">
        <v>766</v>
      </c>
      <c r="C173" s="42" t="s">
        <v>746</v>
      </c>
      <c r="D173" s="42" t="s">
        <v>453</v>
      </c>
      <c r="E173" s="42" t="s">
        <v>454</v>
      </c>
      <c r="F173" s="42"/>
      <c r="G173" s="45" t="s">
        <v>28</v>
      </c>
      <c r="H173" s="44"/>
      <c r="I173" s="44"/>
      <c r="J173" s="44"/>
      <c r="K173" s="45" t="s">
        <v>28</v>
      </c>
      <c r="L173" s="44"/>
      <c r="M173" s="44"/>
      <c r="N173" s="44"/>
      <c r="O173" s="44"/>
      <c r="P173" s="44"/>
      <c r="Q173" s="44"/>
      <c r="R173" s="44"/>
    </row>
    <row r="174" spans="1:18" ht="28.8" customHeight="1" x14ac:dyDescent="0.25">
      <c r="A174" s="42" t="s">
        <v>767</v>
      </c>
      <c r="B174" s="42" t="s">
        <v>768</v>
      </c>
      <c r="C174" s="42" t="s">
        <v>746</v>
      </c>
      <c r="D174" s="42" t="s">
        <v>457</v>
      </c>
      <c r="E174" s="42" t="s">
        <v>458</v>
      </c>
      <c r="F174" s="42"/>
      <c r="G174" s="45" t="s">
        <v>28</v>
      </c>
      <c r="H174" s="44"/>
      <c r="I174" s="44"/>
      <c r="J174" s="44"/>
      <c r="K174" s="45" t="s">
        <v>28</v>
      </c>
      <c r="L174" s="44"/>
      <c r="M174" s="44"/>
      <c r="N174" s="44"/>
      <c r="O174" s="44"/>
      <c r="P174" s="44"/>
      <c r="Q174" s="44"/>
      <c r="R174" s="44"/>
    </row>
    <row r="175" spans="1:18" ht="28.8" customHeight="1" x14ac:dyDescent="0.25">
      <c r="A175" s="42" t="s">
        <v>769</v>
      </c>
      <c r="B175" s="42" t="s">
        <v>770</v>
      </c>
      <c r="C175" s="42" t="s">
        <v>746</v>
      </c>
      <c r="D175" s="42" t="s">
        <v>461</v>
      </c>
      <c r="E175" s="42" t="s">
        <v>462</v>
      </c>
      <c r="F175" s="42"/>
      <c r="G175" s="45" t="s">
        <v>28</v>
      </c>
      <c r="H175" s="44"/>
      <c r="I175" s="44"/>
      <c r="J175" s="44"/>
      <c r="K175" s="45" t="s">
        <v>28</v>
      </c>
      <c r="L175" s="44"/>
      <c r="M175" s="44"/>
      <c r="N175" s="44"/>
      <c r="O175" s="44"/>
      <c r="P175" s="44"/>
      <c r="Q175" s="44"/>
      <c r="R175" s="44"/>
    </row>
    <row r="176" spans="1:18" ht="59.4" customHeight="1" x14ac:dyDescent="0.25">
      <c r="A176" s="42" t="s">
        <v>771</v>
      </c>
      <c r="B176" s="42" t="s">
        <v>772</v>
      </c>
      <c r="C176" s="42" t="s">
        <v>746</v>
      </c>
      <c r="D176" s="42" t="s">
        <v>1038</v>
      </c>
      <c r="E176" s="42" t="s">
        <v>465</v>
      </c>
      <c r="F176" s="42"/>
      <c r="G176" s="45" t="s">
        <v>28</v>
      </c>
      <c r="H176" s="44"/>
      <c r="I176" s="44"/>
      <c r="J176" s="44"/>
      <c r="K176" s="45" t="s">
        <v>28</v>
      </c>
      <c r="L176" s="44"/>
      <c r="M176" s="44"/>
      <c r="N176" s="44"/>
      <c r="O176" s="44"/>
      <c r="P176" s="44"/>
      <c r="Q176" s="44"/>
      <c r="R176" s="44"/>
    </row>
    <row r="177" spans="1:18" ht="59.4" customHeight="1" x14ac:dyDescent="0.25">
      <c r="A177" s="42" t="s">
        <v>773</v>
      </c>
      <c r="B177" s="42" t="s">
        <v>774</v>
      </c>
      <c r="C177" s="42" t="s">
        <v>746</v>
      </c>
      <c r="D177" s="42" t="s">
        <v>1039</v>
      </c>
      <c r="E177" s="42" t="s">
        <v>468</v>
      </c>
      <c r="F177" s="42"/>
      <c r="G177" s="45" t="s">
        <v>28</v>
      </c>
      <c r="H177" s="44"/>
      <c r="I177" s="44"/>
      <c r="J177" s="44"/>
      <c r="K177" s="45" t="s">
        <v>28</v>
      </c>
      <c r="L177" s="44"/>
      <c r="M177" s="44"/>
      <c r="N177" s="44"/>
      <c r="O177" s="44"/>
      <c r="P177" s="44"/>
      <c r="Q177" s="44"/>
      <c r="R177" s="44"/>
    </row>
    <row r="178" spans="1:18" ht="59.4" customHeight="1" x14ac:dyDescent="0.25">
      <c r="A178" s="47" t="s">
        <v>775</v>
      </c>
      <c r="B178" s="47" t="s">
        <v>776</v>
      </c>
      <c r="C178" s="57" t="s">
        <v>746</v>
      </c>
      <c r="D178" s="57" t="s">
        <v>1040</v>
      </c>
      <c r="E178" s="57" t="s">
        <v>471</v>
      </c>
      <c r="F178" s="51"/>
      <c r="G178" s="45" t="s">
        <v>28</v>
      </c>
      <c r="H178" s="44"/>
      <c r="I178" s="44"/>
      <c r="J178" s="44"/>
      <c r="K178" s="45" t="s">
        <v>28</v>
      </c>
      <c r="L178" s="51"/>
      <c r="M178" s="51"/>
      <c r="N178" s="51"/>
      <c r="O178" s="51"/>
      <c r="P178" s="51"/>
      <c r="Q178" s="51"/>
      <c r="R178" s="51"/>
    </row>
    <row r="179" spans="1:18" s="81" customFormat="1" ht="17.399999999999999" customHeight="1" x14ac:dyDescent="0.25">
      <c r="A179" s="79"/>
      <c r="B179" s="129" t="s">
        <v>777</v>
      </c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1"/>
    </row>
    <row r="180" spans="1:18" s="81" customFormat="1" ht="14.4" customHeight="1" x14ac:dyDescent="0.25">
      <c r="A180" s="80"/>
      <c r="B180" s="132" t="s">
        <v>80</v>
      </c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4"/>
    </row>
    <row r="181" spans="1:18" ht="103.8" customHeight="1" x14ac:dyDescent="0.25">
      <c r="A181" s="42" t="s">
        <v>778</v>
      </c>
      <c r="B181" s="42" t="s">
        <v>779</v>
      </c>
      <c r="C181" s="42" t="s">
        <v>780</v>
      </c>
      <c r="D181" s="42" t="s">
        <v>781</v>
      </c>
      <c r="E181" s="42" t="s">
        <v>1048</v>
      </c>
      <c r="F181" s="42" t="s">
        <v>85</v>
      </c>
      <c r="G181" s="45" t="s">
        <v>28</v>
      </c>
      <c r="H181" s="44"/>
      <c r="I181" s="44"/>
      <c r="J181" s="44"/>
      <c r="K181" s="45" t="s">
        <v>28</v>
      </c>
      <c r="L181" s="44"/>
      <c r="M181" s="44"/>
      <c r="N181" s="44"/>
      <c r="O181" s="44"/>
      <c r="P181" s="44"/>
      <c r="Q181" s="44"/>
      <c r="R181" s="44"/>
    </row>
    <row r="182" spans="1:18" ht="58.8" customHeight="1" x14ac:dyDescent="0.25">
      <c r="A182" s="53" t="s">
        <v>782</v>
      </c>
      <c r="B182" s="53" t="s">
        <v>783</v>
      </c>
      <c r="C182" s="53" t="s">
        <v>784</v>
      </c>
      <c r="D182" s="53" t="s">
        <v>89</v>
      </c>
      <c r="E182" s="53" t="s">
        <v>785</v>
      </c>
      <c r="F182" s="53" t="s">
        <v>786</v>
      </c>
      <c r="G182" s="45" t="s">
        <v>28</v>
      </c>
      <c r="H182" s="59"/>
      <c r="I182" s="59"/>
      <c r="J182" s="59"/>
      <c r="K182" s="45" t="s">
        <v>28</v>
      </c>
      <c r="L182" s="59"/>
      <c r="M182" s="59"/>
      <c r="N182" s="59"/>
      <c r="O182" s="59"/>
      <c r="P182" s="59"/>
      <c r="Q182" s="59"/>
      <c r="R182" s="59"/>
    </row>
    <row r="183" spans="1:18" ht="111" customHeight="1" x14ac:dyDescent="0.25">
      <c r="A183" s="53" t="s">
        <v>787</v>
      </c>
      <c r="B183" s="53" t="s">
        <v>788</v>
      </c>
      <c r="C183" s="53" t="s">
        <v>789</v>
      </c>
      <c r="D183" s="53" t="s">
        <v>790</v>
      </c>
      <c r="E183" s="47" t="s">
        <v>1049</v>
      </c>
      <c r="F183" s="53" t="s">
        <v>791</v>
      </c>
      <c r="G183" s="45" t="s">
        <v>28</v>
      </c>
      <c r="H183" s="59"/>
      <c r="I183" s="59"/>
      <c r="J183" s="59"/>
      <c r="K183" s="45" t="s">
        <v>28</v>
      </c>
      <c r="L183" s="59"/>
      <c r="M183" s="59"/>
      <c r="N183" s="59"/>
      <c r="O183" s="59"/>
      <c r="P183" s="59"/>
      <c r="Q183" s="59"/>
      <c r="R183" s="59"/>
    </row>
    <row r="184" spans="1:18" ht="115.8" customHeight="1" x14ac:dyDescent="0.25">
      <c r="A184" s="53" t="s">
        <v>792</v>
      </c>
      <c r="B184" s="53" t="s">
        <v>793</v>
      </c>
      <c r="C184" s="53" t="s">
        <v>789</v>
      </c>
      <c r="D184" s="53" t="s">
        <v>794</v>
      </c>
      <c r="E184" s="53" t="s">
        <v>795</v>
      </c>
      <c r="F184" s="53" t="s">
        <v>796</v>
      </c>
      <c r="G184" s="45" t="s">
        <v>28</v>
      </c>
      <c r="H184" s="59"/>
      <c r="I184" s="59"/>
      <c r="J184" s="59"/>
      <c r="K184" s="45" t="s">
        <v>28</v>
      </c>
      <c r="L184" s="59"/>
      <c r="M184" s="59"/>
      <c r="N184" s="59"/>
      <c r="O184" s="59"/>
      <c r="P184" s="59"/>
      <c r="Q184" s="59"/>
      <c r="R184" s="59"/>
    </row>
    <row r="185" spans="1:18" ht="63.6" customHeight="1" x14ac:dyDescent="0.25">
      <c r="A185" s="53" t="s">
        <v>797</v>
      </c>
      <c r="B185" s="53" t="s">
        <v>798</v>
      </c>
      <c r="C185" s="53" t="s">
        <v>799</v>
      </c>
      <c r="D185" s="53" t="s">
        <v>800</v>
      </c>
      <c r="E185" s="53" t="s">
        <v>801</v>
      </c>
      <c r="F185" s="53" t="s">
        <v>802</v>
      </c>
      <c r="G185" s="45" t="s">
        <v>28</v>
      </c>
      <c r="H185" s="59"/>
      <c r="I185" s="59"/>
      <c r="J185" s="59"/>
      <c r="K185" s="45" t="s">
        <v>28</v>
      </c>
      <c r="L185" s="59"/>
      <c r="M185" s="59"/>
      <c r="N185" s="59"/>
      <c r="O185" s="59"/>
      <c r="P185" s="59"/>
      <c r="Q185" s="59"/>
      <c r="R185" s="59"/>
    </row>
    <row r="186" spans="1:18" ht="63.6" customHeight="1" x14ac:dyDescent="0.25">
      <c r="A186" s="53" t="s">
        <v>803</v>
      </c>
      <c r="B186" s="53" t="s">
        <v>804</v>
      </c>
      <c r="C186" s="53" t="s">
        <v>805</v>
      </c>
      <c r="D186" s="53" t="s">
        <v>806</v>
      </c>
      <c r="E186" s="53" t="s">
        <v>807</v>
      </c>
      <c r="F186" s="53" t="s">
        <v>808</v>
      </c>
      <c r="G186" s="45" t="s">
        <v>28</v>
      </c>
      <c r="H186" s="59"/>
      <c r="I186" s="59"/>
      <c r="J186" s="59"/>
      <c r="K186" s="45" t="s">
        <v>28</v>
      </c>
      <c r="L186" s="59"/>
      <c r="M186" s="59"/>
      <c r="N186" s="59"/>
      <c r="O186" s="59"/>
      <c r="P186" s="59"/>
      <c r="Q186" s="59"/>
      <c r="R186" s="59"/>
    </row>
    <row r="187" spans="1:18" ht="40.200000000000003" customHeight="1" x14ac:dyDescent="0.25">
      <c r="A187" s="53" t="s">
        <v>809</v>
      </c>
      <c r="B187" s="53" t="s">
        <v>810</v>
      </c>
      <c r="C187" s="53" t="s">
        <v>789</v>
      </c>
      <c r="D187" s="53" t="s">
        <v>811</v>
      </c>
      <c r="E187" s="53" t="s">
        <v>812</v>
      </c>
      <c r="F187" s="53" t="s">
        <v>813</v>
      </c>
      <c r="G187" s="45" t="s">
        <v>28</v>
      </c>
      <c r="H187" s="59"/>
      <c r="I187" s="59"/>
      <c r="J187" s="59"/>
      <c r="K187" s="45" t="s">
        <v>28</v>
      </c>
      <c r="L187" s="59"/>
      <c r="M187" s="59"/>
      <c r="N187" s="59"/>
      <c r="O187" s="59"/>
      <c r="P187" s="59"/>
      <c r="Q187" s="59"/>
      <c r="R187" s="59"/>
    </row>
    <row r="188" spans="1:18" ht="45" customHeight="1" x14ac:dyDescent="0.25">
      <c r="A188" s="47" t="s">
        <v>814</v>
      </c>
      <c r="B188" s="47" t="s">
        <v>815</v>
      </c>
      <c r="C188" s="53" t="s">
        <v>816</v>
      </c>
      <c r="D188" s="53" t="s">
        <v>817</v>
      </c>
      <c r="E188" s="53" t="s">
        <v>818</v>
      </c>
      <c r="F188" s="53" t="s">
        <v>819</v>
      </c>
      <c r="G188" s="45" t="s">
        <v>28</v>
      </c>
      <c r="H188" s="59"/>
      <c r="I188" s="59"/>
      <c r="J188" s="59"/>
      <c r="K188" s="45" t="s">
        <v>28</v>
      </c>
      <c r="L188" s="59"/>
      <c r="M188" s="59"/>
      <c r="N188" s="59"/>
      <c r="O188" s="59"/>
      <c r="P188" s="59"/>
      <c r="Q188" s="59"/>
      <c r="R188" s="59"/>
    </row>
    <row r="189" spans="1:18" ht="61.2" customHeight="1" x14ac:dyDescent="0.25">
      <c r="A189" s="53" t="s">
        <v>820</v>
      </c>
      <c r="B189" s="53" t="s">
        <v>821</v>
      </c>
      <c r="C189" s="53" t="s">
        <v>822</v>
      </c>
      <c r="D189" s="53" t="s">
        <v>823</v>
      </c>
      <c r="E189" s="53" t="s">
        <v>824</v>
      </c>
      <c r="F189" s="53"/>
      <c r="G189" s="45" t="s">
        <v>28</v>
      </c>
      <c r="H189" s="59"/>
      <c r="I189" s="59"/>
      <c r="J189" s="59"/>
      <c r="K189" s="45" t="s">
        <v>28</v>
      </c>
      <c r="L189" s="59"/>
      <c r="M189" s="59"/>
      <c r="N189" s="59"/>
      <c r="O189" s="59"/>
      <c r="P189" s="59"/>
      <c r="Q189" s="59"/>
      <c r="R189" s="59"/>
    </row>
    <row r="190" spans="1:18" ht="28.8" customHeight="1" x14ac:dyDescent="0.25">
      <c r="A190" s="42" t="s">
        <v>825</v>
      </c>
      <c r="B190" s="42" t="s">
        <v>826</v>
      </c>
      <c r="C190" s="42" t="s">
        <v>827</v>
      </c>
      <c r="D190" s="42" t="s">
        <v>828</v>
      </c>
      <c r="E190" s="42" t="s">
        <v>829</v>
      </c>
      <c r="F190" s="42" t="s">
        <v>112</v>
      </c>
      <c r="G190" s="45" t="s">
        <v>28</v>
      </c>
      <c r="H190" s="44"/>
      <c r="I190" s="44"/>
      <c r="J190" s="44"/>
      <c r="K190" s="45" t="s">
        <v>28</v>
      </c>
      <c r="L190" s="44"/>
      <c r="M190" s="44"/>
      <c r="N190" s="44"/>
      <c r="O190" s="44"/>
      <c r="P190" s="44"/>
      <c r="Q190" s="44"/>
      <c r="R190" s="44"/>
    </row>
    <row r="191" spans="1:18" ht="28.8" customHeight="1" x14ac:dyDescent="0.25">
      <c r="A191" s="42" t="s">
        <v>830</v>
      </c>
      <c r="B191" s="42" t="s">
        <v>831</v>
      </c>
      <c r="C191" s="42" t="s">
        <v>832</v>
      </c>
      <c r="D191" s="42" t="s">
        <v>833</v>
      </c>
      <c r="E191" s="42" t="s">
        <v>834</v>
      </c>
      <c r="F191" s="42"/>
      <c r="G191" s="45" t="s">
        <v>28</v>
      </c>
      <c r="H191" s="44"/>
      <c r="I191" s="44"/>
      <c r="J191" s="44"/>
      <c r="K191" s="45" t="s">
        <v>28</v>
      </c>
      <c r="L191" s="44"/>
      <c r="M191" s="44"/>
      <c r="N191" s="44"/>
      <c r="O191" s="44"/>
      <c r="P191" s="44"/>
      <c r="Q191" s="44"/>
      <c r="R191" s="44"/>
    </row>
    <row r="192" spans="1:18" ht="28.8" customHeight="1" x14ac:dyDescent="0.25">
      <c r="A192" s="42" t="s">
        <v>835</v>
      </c>
      <c r="B192" s="42" t="s">
        <v>836</v>
      </c>
      <c r="C192" s="42" t="s">
        <v>837</v>
      </c>
      <c r="D192" s="42" t="s">
        <v>838</v>
      </c>
      <c r="E192" s="42" t="s">
        <v>839</v>
      </c>
      <c r="F192" s="42"/>
      <c r="G192" s="45" t="s">
        <v>28</v>
      </c>
      <c r="H192" s="44"/>
      <c r="I192" s="44"/>
      <c r="J192" s="44"/>
      <c r="K192" s="45" t="s">
        <v>28</v>
      </c>
      <c r="L192" s="44"/>
      <c r="M192" s="44"/>
      <c r="N192" s="44"/>
      <c r="O192" s="44"/>
      <c r="P192" s="44"/>
      <c r="Q192" s="44"/>
      <c r="R192" s="44"/>
    </row>
    <row r="193" spans="1:18" ht="43.2" customHeight="1" x14ac:dyDescent="0.25">
      <c r="A193" s="42" t="s">
        <v>840</v>
      </c>
      <c r="B193" s="42" t="s">
        <v>841</v>
      </c>
      <c r="C193" s="42" t="s">
        <v>842</v>
      </c>
      <c r="D193" s="42" t="s">
        <v>843</v>
      </c>
      <c r="E193" s="42" t="s">
        <v>844</v>
      </c>
      <c r="F193" s="42"/>
      <c r="G193" s="45" t="s">
        <v>28</v>
      </c>
      <c r="H193" s="44"/>
      <c r="I193" s="44"/>
      <c r="J193" s="44"/>
      <c r="K193" s="45" t="s">
        <v>28</v>
      </c>
      <c r="L193" s="44"/>
      <c r="M193" s="44"/>
      <c r="N193" s="44"/>
      <c r="O193" s="44"/>
      <c r="P193" s="44"/>
      <c r="Q193" s="44"/>
      <c r="R193" s="44"/>
    </row>
    <row r="194" spans="1:18" ht="43.2" customHeight="1" x14ac:dyDescent="0.25">
      <c r="A194" s="42" t="s">
        <v>845</v>
      </c>
      <c r="B194" s="42" t="s">
        <v>846</v>
      </c>
      <c r="C194" s="42" t="s">
        <v>847</v>
      </c>
      <c r="D194" s="42" t="s">
        <v>848</v>
      </c>
      <c r="E194" s="42" t="s">
        <v>849</v>
      </c>
      <c r="F194" s="42" t="s">
        <v>133</v>
      </c>
      <c r="G194" s="45" t="s">
        <v>28</v>
      </c>
      <c r="H194" s="44"/>
      <c r="I194" s="44"/>
      <c r="J194" s="44"/>
      <c r="K194" s="45" t="s">
        <v>28</v>
      </c>
      <c r="L194" s="44"/>
      <c r="M194" s="44"/>
      <c r="N194" s="44"/>
      <c r="O194" s="44"/>
      <c r="P194" s="44"/>
      <c r="Q194" s="44"/>
      <c r="R194" s="44"/>
    </row>
    <row r="195" spans="1:18" ht="43.2" customHeight="1" x14ac:dyDescent="0.25">
      <c r="A195" s="47" t="s">
        <v>850</v>
      </c>
      <c r="B195" s="47" t="s">
        <v>851</v>
      </c>
      <c r="C195" s="57" t="s">
        <v>852</v>
      </c>
      <c r="D195" s="57" t="s">
        <v>853</v>
      </c>
      <c r="E195" s="57" t="s">
        <v>854</v>
      </c>
      <c r="F195" s="51"/>
      <c r="G195" s="45" t="s">
        <v>28</v>
      </c>
      <c r="H195" s="44"/>
      <c r="I195" s="44"/>
      <c r="J195" s="44"/>
      <c r="K195" s="45" t="s">
        <v>28</v>
      </c>
      <c r="L195" s="51"/>
      <c r="M195" s="51"/>
      <c r="N195" s="51"/>
      <c r="O195" s="51"/>
      <c r="P195" s="51"/>
      <c r="Q195" s="51"/>
      <c r="R195" s="51"/>
    </row>
    <row r="196" spans="1:18" s="81" customFormat="1" ht="16.2" customHeight="1" x14ac:dyDescent="0.25">
      <c r="A196" s="80"/>
      <c r="B196" s="135" t="s">
        <v>165</v>
      </c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7"/>
    </row>
    <row r="197" spans="1:18" s="52" customFormat="1" ht="57.6" customHeight="1" x14ac:dyDescent="0.25">
      <c r="A197" s="42" t="s">
        <v>855</v>
      </c>
      <c r="B197" s="62" t="s">
        <v>856</v>
      </c>
      <c r="C197" s="62" t="s">
        <v>857</v>
      </c>
      <c r="D197" s="62" t="s">
        <v>858</v>
      </c>
      <c r="E197" s="62" t="s">
        <v>859</v>
      </c>
      <c r="F197" s="62" t="s">
        <v>860</v>
      </c>
      <c r="G197" s="63" t="s">
        <v>28</v>
      </c>
      <c r="H197" s="73"/>
      <c r="I197" s="73"/>
      <c r="J197" s="73"/>
      <c r="K197" s="63" t="s">
        <v>28</v>
      </c>
      <c r="L197" s="73"/>
      <c r="M197" s="73"/>
      <c r="N197" s="73"/>
      <c r="O197" s="73"/>
      <c r="P197" s="73"/>
      <c r="Q197" s="73"/>
      <c r="R197" s="73"/>
    </row>
    <row r="198" spans="1:18" s="52" customFormat="1" ht="37.200000000000003" customHeight="1" x14ac:dyDescent="0.25">
      <c r="A198" s="61" t="s">
        <v>861</v>
      </c>
      <c r="B198" s="68" t="s">
        <v>862</v>
      </c>
      <c r="C198" s="72" t="s">
        <v>863</v>
      </c>
      <c r="D198" s="72" t="s">
        <v>864</v>
      </c>
      <c r="E198" s="72" t="s">
        <v>865</v>
      </c>
      <c r="F198" s="70" t="s">
        <v>274</v>
      </c>
      <c r="G198" s="63" t="s">
        <v>28</v>
      </c>
      <c r="H198" s="73"/>
      <c r="I198" s="73"/>
      <c r="J198" s="73"/>
      <c r="K198" s="63" t="s">
        <v>28</v>
      </c>
      <c r="L198" s="70"/>
      <c r="M198" s="70"/>
      <c r="N198" s="70"/>
      <c r="O198" s="70"/>
      <c r="P198" s="70"/>
      <c r="Q198" s="70"/>
      <c r="R198" s="70"/>
    </row>
    <row r="199" spans="1:18" s="52" customFormat="1" ht="33.6" customHeight="1" x14ac:dyDescent="0.25">
      <c r="A199" s="61" t="s">
        <v>866</v>
      </c>
      <c r="B199" s="68" t="s">
        <v>867</v>
      </c>
      <c r="C199" s="72" t="s">
        <v>868</v>
      </c>
      <c r="D199" s="72" t="s">
        <v>864</v>
      </c>
      <c r="E199" s="72" t="s">
        <v>869</v>
      </c>
      <c r="F199" s="70" t="s">
        <v>274</v>
      </c>
      <c r="G199" s="63" t="s">
        <v>28</v>
      </c>
      <c r="H199" s="73"/>
      <c r="I199" s="73"/>
      <c r="J199" s="73"/>
      <c r="K199" s="63" t="s">
        <v>28</v>
      </c>
      <c r="L199" s="70"/>
      <c r="M199" s="70"/>
      <c r="N199" s="70"/>
      <c r="O199" s="70"/>
      <c r="P199" s="70"/>
      <c r="Q199" s="70"/>
      <c r="R199" s="70"/>
    </row>
    <row r="200" spans="1:18" ht="43.2" customHeight="1" x14ac:dyDescent="0.25">
      <c r="A200" s="42" t="s">
        <v>870</v>
      </c>
      <c r="B200" s="65" t="s">
        <v>871</v>
      </c>
      <c r="C200" s="65" t="s">
        <v>872</v>
      </c>
      <c r="D200" s="65" t="s">
        <v>864</v>
      </c>
      <c r="E200" s="65" t="s">
        <v>873</v>
      </c>
      <c r="F200" s="65" t="s">
        <v>274</v>
      </c>
      <c r="G200" s="66" t="s">
        <v>28</v>
      </c>
      <c r="H200" s="74"/>
      <c r="I200" s="74"/>
      <c r="J200" s="74"/>
      <c r="K200" s="66" t="s">
        <v>28</v>
      </c>
      <c r="L200" s="74"/>
      <c r="M200" s="74"/>
      <c r="N200" s="74"/>
      <c r="O200" s="74"/>
      <c r="P200" s="74"/>
      <c r="Q200" s="74"/>
      <c r="R200" s="74"/>
    </row>
    <row r="201" spans="1:18" ht="72" customHeight="1" x14ac:dyDescent="0.25">
      <c r="A201" s="42" t="s">
        <v>874</v>
      </c>
      <c r="B201" s="42" t="s">
        <v>875</v>
      </c>
      <c r="C201" s="42" t="s">
        <v>876</v>
      </c>
      <c r="D201" s="42" t="s">
        <v>864</v>
      </c>
      <c r="E201" s="42" t="s">
        <v>877</v>
      </c>
      <c r="F201" s="42"/>
      <c r="G201" s="45" t="s">
        <v>28</v>
      </c>
      <c r="H201" s="44"/>
      <c r="I201" s="44"/>
      <c r="J201" s="44"/>
      <c r="K201" s="45" t="s">
        <v>28</v>
      </c>
      <c r="L201" s="44"/>
      <c r="M201" s="44"/>
      <c r="N201" s="44"/>
      <c r="O201" s="44"/>
      <c r="P201" s="44"/>
      <c r="Q201" s="44"/>
      <c r="R201" s="44"/>
    </row>
    <row r="202" spans="1:18" ht="43.2" customHeight="1" x14ac:dyDescent="0.25">
      <c r="A202" s="42" t="s">
        <v>878</v>
      </c>
      <c r="B202" s="42" t="s">
        <v>879</v>
      </c>
      <c r="C202" s="42" t="s">
        <v>880</v>
      </c>
      <c r="D202" s="42" t="s">
        <v>881</v>
      </c>
      <c r="E202" s="42" t="s">
        <v>882</v>
      </c>
      <c r="F202" s="42" t="s">
        <v>274</v>
      </c>
      <c r="G202" s="45" t="s">
        <v>28</v>
      </c>
      <c r="H202" s="44"/>
      <c r="I202" s="44"/>
      <c r="J202" s="44"/>
      <c r="K202" s="45" t="s">
        <v>28</v>
      </c>
      <c r="L202" s="44"/>
      <c r="M202" s="44"/>
      <c r="N202" s="44"/>
      <c r="O202" s="44"/>
      <c r="P202" s="44"/>
      <c r="Q202" s="44"/>
      <c r="R202" s="44"/>
    </row>
    <row r="203" spans="1:18" ht="43.2" customHeight="1" x14ac:dyDescent="0.25">
      <c r="A203" s="42" t="s">
        <v>883</v>
      </c>
      <c r="B203" s="42" t="s">
        <v>884</v>
      </c>
      <c r="C203" s="42" t="s">
        <v>885</v>
      </c>
      <c r="D203" s="42" t="s">
        <v>886</v>
      </c>
      <c r="E203" s="42" t="s">
        <v>887</v>
      </c>
      <c r="F203" s="42" t="s">
        <v>888</v>
      </c>
      <c r="G203" s="45" t="s">
        <v>28</v>
      </c>
      <c r="H203" s="44"/>
      <c r="I203" s="44"/>
      <c r="J203" s="44"/>
      <c r="K203" s="45" t="s">
        <v>28</v>
      </c>
      <c r="L203" s="44"/>
      <c r="M203" s="44"/>
      <c r="N203" s="44"/>
      <c r="O203" s="44"/>
      <c r="P203" s="44"/>
      <c r="Q203" s="44"/>
      <c r="R203" s="44"/>
    </row>
    <row r="204" spans="1:18" ht="43.2" customHeight="1" x14ac:dyDescent="0.25">
      <c r="A204" s="42" t="s">
        <v>889</v>
      </c>
      <c r="B204" s="42" t="s">
        <v>890</v>
      </c>
      <c r="C204" s="42" t="s">
        <v>891</v>
      </c>
      <c r="D204" s="42" t="s">
        <v>886</v>
      </c>
      <c r="E204" s="42" t="s">
        <v>892</v>
      </c>
      <c r="F204" s="42" t="s">
        <v>893</v>
      </c>
      <c r="G204" s="45" t="s">
        <v>28</v>
      </c>
      <c r="H204" s="44"/>
      <c r="I204" s="44"/>
      <c r="J204" s="44"/>
      <c r="K204" s="45" t="s">
        <v>28</v>
      </c>
      <c r="L204" s="44"/>
      <c r="M204" s="44"/>
      <c r="N204" s="44"/>
      <c r="O204" s="44"/>
      <c r="P204" s="44"/>
      <c r="Q204" s="44"/>
      <c r="R204" s="44"/>
    </row>
    <row r="205" spans="1:18" ht="42.6" customHeight="1" x14ac:dyDescent="0.25">
      <c r="A205" s="42" t="s">
        <v>894</v>
      </c>
      <c r="B205" s="42" t="s">
        <v>895</v>
      </c>
      <c r="C205" s="42" t="s">
        <v>896</v>
      </c>
      <c r="D205" s="42" t="s">
        <v>886</v>
      </c>
      <c r="E205" s="42" t="s">
        <v>897</v>
      </c>
      <c r="F205" s="42" t="s">
        <v>893</v>
      </c>
      <c r="G205" s="45" t="s">
        <v>28</v>
      </c>
      <c r="H205" s="44"/>
      <c r="I205" s="44"/>
      <c r="J205" s="44"/>
      <c r="K205" s="45" t="s">
        <v>28</v>
      </c>
      <c r="L205" s="44"/>
      <c r="M205" s="44"/>
      <c r="N205" s="44"/>
      <c r="O205" s="44"/>
      <c r="P205" s="44"/>
      <c r="Q205" s="44"/>
      <c r="R205" s="44"/>
    </row>
    <row r="206" spans="1:18" ht="28.8" customHeight="1" x14ac:dyDescent="0.25">
      <c r="A206" s="42" t="s">
        <v>898</v>
      </c>
      <c r="B206" s="42" t="s">
        <v>899</v>
      </c>
      <c r="C206" s="42" t="s">
        <v>900</v>
      </c>
      <c r="D206" s="42" t="s">
        <v>886</v>
      </c>
      <c r="E206" s="42" t="s">
        <v>901</v>
      </c>
      <c r="F206" s="62" t="s">
        <v>893</v>
      </c>
      <c r="G206" s="63" t="s">
        <v>28</v>
      </c>
      <c r="H206" s="73"/>
      <c r="I206" s="73"/>
      <c r="J206" s="73"/>
      <c r="K206" s="63" t="s">
        <v>28</v>
      </c>
      <c r="L206" s="73"/>
      <c r="M206" s="44"/>
      <c r="N206" s="44"/>
      <c r="O206" s="44"/>
      <c r="P206" s="44"/>
      <c r="Q206" s="44"/>
      <c r="R206" s="44"/>
    </row>
    <row r="207" spans="1:18" s="50" customFormat="1" ht="36.6" customHeight="1" x14ac:dyDescent="0.25">
      <c r="A207" s="42" t="s">
        <v>902</v>
      </c>
      <c r="B207" s="62" t="s">
        <v>903</v>
      </c>
      <c r="C207" s="62" t="s">
        <v>904</v>
      </c>
      <c r="D207" s="62" t="s">
        <v>886</v>
      </c>
      <c r="E207" s="91" t="s">
        <v>905</v>
      </c>
      <c r="F207" s="68"/>
      <c r="G207" s="45" t="s">
        <v>28</v>
      </c>
      <c r="H207" s="83"/>
      <c r="I207" s="83"/>
      <c r="J207" s="83"/>
      <c r="K207" s="45" t="s">
        <v>28</v>
      </c>
      <c r="L207" s="83"/>
      <c r="M207" s="93"/>
      <c r="N207" s="73"/>
      <c r="O207" s="73"/>
      <c r="P207" s="73"/>
      <c r="Q207" s="73"/>
      <c r="R207" s="73"/>
    </row>
    <row r="208" spans="1:18" s="52" customFormat="1" ht="40.200000000000003" customHeight="1" x14ac:dyDescent="0.25">
      <c r="A208" s="61" t="s">
        <v>906</v>
      </c>
      <c r="B208" s="68" t="s">
        <v>907</v>
      </c>
      <c r="C208" s="72" t="s">
        <v>908</v>
      </c>
      <c r="D208" s="72" t="s">
        <v>909</v>
      </c>
      <c r="E208" s="84" t="s">
        <v>910</v>
      </c>
      <c r="F208" s="70" t="s">
        <v>911</v>
      </c>
      <c r="G208" s="45" t="s">
        <v>28</v>
      </c>
      <c r="H208" s="83"/>
      <c r="I208" s="83"/>
      <c r="J208" s="83"/>
      <c r="K208" s="45" t="s">
        <v>28</v>
      </c>
      <c r="L208" s="70"/>
      <c r="M208" s="86"/>
      <c r="N208" s="70"/>
      <c r="O208" s="70"/>
      <c r="P208" s="70"/>
      <c r="Q208" s="70"/>
      <c r="R208" s="70"/>
    </row>
    <row r="209" spans="1:18" ht="43.2" customHeight="1" x14ac:dyDescent="0.25">
      <c r="A209" s="42" t="s">
        <v>912</v>
      </c>
      <c r="B209" s="65" t="s">
        <v>913</v>
      </c>
      <c r="C209" s="65" t="s">
        <v>914</v>
      </c>
      <c r="D209" s="65" t="s">
        <v>915</v>
      </c>
      <c r="E209" s="85" t="s">
        <v>916</v>
      </c>
      <c r="F209" s="68" t="s">
        <v>309</v>
      </c>
      <c r="G209" s="45" t="s">
        <v>28</v>
      </c>
      <c r="H209" s="83"/>
      <c r="I209" s="83"/>
      <c r="J209" s="83"/>
      <c r="K209" s="45" t="s">
        <v>28</v>
      </c>
      <c r="L209" s="83"/>
      <c r="M209" s="87"/>
      <c r="N209" s="74"/>
      <c r="O209" s="74"/>
      <c r="P209" s="74"/>
      <c r="Q209" s="74"/>
      <c r="R209" s="74"/>
    </row>
    <row r="210" spans="1:18" ht="57.6" customHeight="1" x14ac:dyDescent="0.25">
      <c r="A210" s="42" t="s">
        <v>917</v>
      </c>
      <c r="B210" s="42" t="s">
        <v>918</v>
      </c>
      <c r="C210" s="42" t="s">
        <v>919</v>
      </c>
      <c r="D210" s="42" t="s">
        <v>920</v>
      </c>
      <c r="E210" s="61" t="s">
        <v>921</v>
      </c>
      <c r="F210" s="68" t="s">
        <v>383</v>
      </c>
      <c r="G210" s="45" t="s">
        <v>28</v>
      </c>
      <c r="H210" s="83"/>
      <c r="I210" s="83"/>
      <c r="J210" s="83"/>
      <c r="K210" s="45" t="s">
        <v>28</v>
      </c>
      <c r="L210" s="83"/>
      <c r="M210" s="88"/>
      <c r="N210" s="44"/>
      <c r="O210" s="44"/>
      <c r="P210" s="44"/>
      <c r="Q210" s="44"/>
      <c r="R210" s="44"/>
    </row>
    <row r="211" spans="1:18" ht="57.6" customHeight="1" x14ac:dyDescent="0.25">
      <c r="A211" s="42" t="s">
        <v>922</v>
      </c>
      <c r="B211" s="42" t="s">
        <v>923</v>
      </c>
      <c r="C211" s="42" t="s">
        <v>924</v>
      </c>
      <c r="D211" s="42" t="s">
        <v>925</v>
      </c>
      <c r="E211" s="61" t="s">
        <v>926</v>
      </c>
      <c r="F211" s="68"/>
      <c r="G211" s="45" t="s">
        <v>28</v>
      </c>
      <c r="H211" s="83"/>
      <c r="I211" s="83"/>
      <c r="J211" s="83"/>
      <c r="K211" s="45" t="s">
        <v>28</v>
      </c>
      <c r="L211" s="83"/>
      <c r="M211" s="88"/>
      <c r="N211" s="44"/>
      <c r="O211" s="44"/>
      <c r="P211" s="44"/>
      <c r="Q211" s="44"/>
      <c r="R211" s="44"/>
    </row>
    <row r="212" spans="1:18" ht="57.6" customHeight="1" x14ac:dyDescent="0.25">
      <c r="A212" s="42" t="s">
        <v>927</v>
      </c>
      <c r="B212" s="42" t="s">
        <v>928</v>
      </c>
      <c r="C212" s="42" t="s">
        <v>908</v>
      </c>
      <c r="D212" s="42" t="s">
        <v>929</v>
      </c>
      <c r="E212" s="42" t="s">
        <v>930</v>
      </c>
      <c r="F212" s="65" t="s">
        <v>323</v>
      </c>
      <c r="G212" s="66" t="s">
        <v>28</v>
      </c>
      <c r="H212" s="74"/>
      <c r="I212" s="74"/>
      <c r="J212" s="74"/>
      <c r="K212" s="66" t="s">
        <v>28</v>
      </c>
      <c r="L212" s="74"/>
      <c r="M212" s="44"/>
      <c r="N212" s="44"/>
      <c r="O212" s="44"/>
      <c r="P212" s="44"/>
      <c r="Q212" s="44"/>
      <c r="R212" s="44"/>
    </row>
    <row r="213" spans="1:18" ht="57.6" customHeight="1" x14ac:dyDescent="0.25">
      <c r="A213" s="42" t="s">
        <v>931</v>
      </c>
      <c r="B213" s="42" t="s">
        <v>932</v>
      </c>
      <c r="C213" s="42" t="s">
        <v>933</v>
      </c>
      <c r="D213" s="42" t="s">
        <v>934</v>
      </c>
      <c r="E213" s="42" t="s">
        <v>935</v>
      </c>
      <c r="F213" s="42" t="s">
        <v>936</v>
      </c>
      <c r="G213" s="45" t="s">
        <v>28</v>
      </c>
      <c r="H213" s="44"/>
      <c r="I213" s="44"/>
      <c r="J213" s="44"/>
      <c r="K213" s="45" t="s">
        <v>28</v>
      </c>
      <c r="L213" s="44"/>
      <c r="M213" s="44"/>
      <c r="N213" s="44"/>
      <c r="O213" s="44"/>
      <c r="P213" s="44"/>
      <c r="Q213" s="44"/>
      <c r="R213" s="44"/>
    </row>
    <row r="214" spans="1:18" ht="57.6" customHeight="1" x14ac:dyDescent="0.25">
      <c r="A214" s="42" t="s">
        <v>937</v>
      </c>
      <c r="B214" s="42" t="s">
        <v>938</v>
      </c>
      <c r="C214" s="42" t="s">
        <v>939</v>
      </c>
      <c r="D214" s="42" t="s">
        <v>940</v>
      </c>
      <c r="E214" s="42" t="s">
        <v>941</v>
      </c>
      <c r="F214" s="42"/>
      <c r="G214" s="45" t="s">
        <v>28</v>
      </c>
      <c r="H214" s="44"/>
      <c r="I214" s="44"/>
      <c r="J214" s="44"/>
      <c r="K214" s="45" t="s">
        <v>28</v>
      </c>
      <c r="L214" s="44"/>
      <c r="M214" s="44"/>
      <c r="N214" s="44"/>
      <c r="O214" s="44"/>
      <c r="P214" s="44"/>
      <c r="Q214" s="44"/>
      <c r="R214" s="44"/>
    </row>
    <row r="215" spans="1:18" ht="57.6" customHeight="1" x14ac:dyDescent="0.25">
      <c r="A215" s="42" t="s">
        <v>942</v>
      </c>
      <c r="B215" s="42" t="s">
        <v>943</v>
      </c>
      <c r="C215" s="42" t="s">
        <v>944</v>
      </c>
      <c r="D215" s="42" t="s">
        <v>945</v>
      </c>
      <c r="E215" s="42" t="s">
        <v>946</v>
      </c>
      <c r="F215" s="42" t="s">
        <v>164</v>
      </c>
      <c r="G215" s="45" t="s">
        <v>28</v>
      </c>
      <c r="H215" s="44"/>
      <c r="I215" s="44"/>
      <c r="J215" s="44"/>
      <c r="K215" s="45" t="s">
        <v>28</v>
      </c>
      <c r="L215" s="44"/>
      <c r="M215" s="44"/>
      <c r="N215" s="44"/>
      <c r="O215" s="44"/>
      <c r="P215" s="44"/>
      <c r="Q215" s="44"/>
      <c r="R215" s="44"/>
    </row>
    <row r="216" spans="1:18" ht="57.6" customHeight="1" x14ac:dyDescent="0.25">
      <c r="A216" s="42" t="s">
        <v>947</v>
      </c>
      <c r="B216" s="42" t="s">
        <v>948</v>
      </c>
      <c r="C216" s="42" t="s">
        <v>949</v>
      </c>
      <c r="D216" s="42" t="s">
        <v>950</v>
      </c>
      <c r="E216" s="42" t="s">
        <v>951</v>
      </c>
      <c r="F216" s="42" t="s">
        <v>952</v>
      </c>
      <c r="G216" s="45" t="s">
        <v>28</v>
      </c>
      <c r="H216" s="44"/>
      <c r="I216" s="44"/>
      <c r="J216" s="44"/>
      <c r="K216" s="45" t="s">
        <v>28</v>
      </c>
      <c r="L216" s="44"/>
      <c r="M216" s="44"/>
      <c r="N216" s="44"/>
      <c r="O216" s="44"/>
      <c r="P216" s="44"/>
      <c r="Q216" s="44"/>
      <c r="R216" s="44"/>
    </row>
    <row r="217" spans="1:18" ht="28.8" customHeight="1" x14ac:dyDescent="0.25">
      <c r="A217" s="42" t="s">
        <v>953</v>
      </c>
      <c r="B217" s="42" t="s">
        <v>954</v>
      </c>
      <c r="C217" s="42" t="s">
        <v>955</v>
      </c>
      <c r="D217" s="42" t="s">
        <v>956</v>
      </c>
      <c r="E217" s="42" t="s">
        <v>957</v>
      </c>
      <c r="F217" s="42" t="s">
        <v>952</v>
      </c>
      <c r="G217" s="45" t="s">
        <v>28</v>
      </c>
      <c r="H217" s="44"/>
      <c r="I217" s="44"/>
      <c r="J217" s="44"/>
      <c r="K217" s="45" t="s">
        <v>28</v>
      </c>
      <c r="L217" s="44"/>
      <c r="M217" s="44"/>
      <c r="N217" s="44"/>
      <c r="O217" s="44"/>
      <c r="P217" s="44"/>
      <c r="Q217" s="44"/>
      <c r="R217" s="44"/>
    </row>
    <row r="218" spans="1:18" ht="28.8" customHeight="1" x14ac:dyDescent="0.25">
      <c r="A218" s="42" t="s">
        <v>958</v>
      </c>
      <c r="B218" s="42" t="s">
        <v>959</v>
      </c>
      <c r="C218" s="42" t="s">
        <v>960</v>
      </c>
      <c r="D218" s="42" t="s">
        <v>961</v>
      </c>
      <c r="E218" s="42" t="s">
        <v>962</v>
      </c>
      <c r="F218" s="42" t="s">
        <v>963</v>
      </c>
      <c r="G218" s="45" t="s">
        <v>28</v>
      </c>
      <c r="H218" s="44"/>
      <c r="I218" s="44"/>
      <c r="J218" s="44"/>
      <c r="K218" s="45" t="s">
        <v>28</v>
      </c>
      <c r="L218" s="44"/>
      <c r="M218" s="44"/>
      <c r="N218" s="44"/>
      <c r="O218" s="44"/>
      <c r="P218" s="44"/>
      <c r="Q218" s="44"/>
      <c r="R218" s="44"/>
    </row>
    <row r="219" spans="1:18" ht="28.8" customHeight="1" x14ac:dyDescent="0.25">
      <c r="A219" s="42" t="s">
        <v>964</v>
      </c>
      <c r="B219" s="42" t="s">
        <v>965</v>
      </c>
      <c r="C219" s="42" t="s">
        <v>966</v>
      </c>
      <c r="D219" s="42" t="s">
        <v>967</v>
      </c>
      <c r="E219" s="42" t="s">
        <v>968</v>
      </c>
      <c r="F219" s="42" t="s">
        <v>963</v>
      </c>
      <c r="G219" s="45" t="s">
        <v>28</v>
      </c>
      <c r="H219" s="44"/>
      <c r="I219" s="44"/>
      <c r="J219" s="44"/>
      <c r="K219" s="45" t="s">
        <v>28</v>
      </c>
      <c r="L219" s="44"/>
      <c r="M219" s="44"/>
      <c r="N219" s="44"/>
      <c r="O219" s="44"/>
      <c r="P219" s="44"/>
      <c r="Q219" s="44"/>
      <c r="R219" s="44"/>
    </row>
    <row r="220" spans="1:18" ht="28.8" customHeight="1" x14ac:dyDescent="0.25">
      <c r="A220" s="42" t="s">
        <v>969</v>
      </c>
      <c r="B220" s="42" t="s">
        <v>970</v>
      </c>
      <c r="C220" s="42" t="s">
        <v>971</v>
      </c>
      <c r="D220" s="42" t="s">
        <v>972</v>
      </c>
      <c r="E220" s="42" t="s">
        <v>973</v>
      </c>
      <c r="F220" s="42" t="s">
        <v>963</v>
      </c>
      <c r="G220" s="45" t="s">
        <v>28</v>
      </c>
      <c r="H220" s="44"/>
      <c r="I220" s="44"/>
      <c r="J220" s="44"/>
      <c r="K220" s="45" t="s">
        <v>28</v>
      </c>
      <c r="L220" s="44"/>
      <c r="M220" s="44"/>
      <c r="N220" s="44"/>
      <c r="O220" s="44"/>
      <c r="P220" s="44"/>
      <c r="Q220" s="44"/>
      <c r="R220" s="44"/>
    </row>
    <row r="221" spans="1:18" ht="28.8" customHeight="1" x14ac:dyDescent="0.25">
      <c r="A221" s="42" t="s">
        <v>974</v>
      </c>
      <c r="B221" s="42" t="s">
        <v>975</v>
      </c>
      <c r="C221" s="42" t="s">
        <v>976</v>
      </c>
      <c r="D221" s="42" t="s">
        <v>977</v>
      </c>
      <c r="E221" s="42" t="s">
        <v>978</v>
      </c>
      <c r="F221" s="42" t="s">
        <v>963</v>
      </c>
      <c r="G221" s="45" t="s">
        <v>28</v>
      </c>
      <c r="H221" s="44"/>
      <c r="I221" s="44"/>
      <c r="J221" s="44"/>
      <c r="K221" s="45" t="s">
        <v>28</v>
      </c>
      <c r="L221" s="44"/>
      <c r="M221" s="44"/>
      <c r="N221" s="44"/>
      <c r="O221" s="44"/>
      <c r="P221" s="44"/>
      <c r="Q221" s="44"/>
      <c r="R221" s="44"/>
    </row>
    <row r="222" spans="1:18" ht="28.8" customHeight="1" x14ac:dyDescent="0.25">
      <c r="A222" s="42" t="s">
        <v>979</v>
      </c>
      <c r="B222" s="42" t="s">
        <v>980</v>
      </c>
      <c r="C222" s="42" t="s">
        <v>981</v>
      </c>
      <c r="D222" s="42" t="s">
        <v>977</v>
      </c>
      <c r="E222" s="42" t="s">
        <v>982</v>
      </c>
      <c r="F222" s="42" t="s">
        <v>963</v>
      </c>
      <c r="G222" s="45" t="s">
        <v>28</v>
      </c>
      <c r="H222" s="44"/>
      <c r="I222" s="44"/>
      <c r="J222" s="44"/>
      <c r="K222" s="45" t="s">
        <v>28</v>
      </c>
      <c r="L222" s="44"/>
      <c r="M222" s="44"/>
      <c r="N222" s="44"/>
      <c r="O222" s="44"/>
      <c r="P222" s="44"/>
      <c r="Q222" s="44"/>
      <c r="R222" s="44"/>
    </row>
    <row r="223" spans="1:18" ht="43.2" customHeight="1" x14ac:dyDescent="0.25">
      <c r="A223" s="42" t="s">
        <v>983</v>
      </c>
      <c r="B223" s="42" t="s">
        <v>984</v>
      </c>
      <c r="C223" s="42" t="s">
        <v>985</v>
      </c>
      <c r="D223" s="42" t="s">
        <v>986</v>
      </c>
      <c r="E223" s="42" t="s">
        <v>987</v>
      </c>
      <c r="F223" s="42" t="s">
        <v>389</v>
      </c>
      <c r="G223" s="45" t="s">
        <v>28</v>
      </c>
      <c r="H223" s="44"/>
      <c r="I223" s="44"/>
      <c r="J223" s="44"/>
      <c r="K223" s="45" t="s">
        <v>28</v>
      </c>
      <c r="L223" s="44"/>
      <c r="M223" s="44"/>
      <c r="N223" s="44"/>
      <c r="O223" s="44"/>
      <c r="P223" s="44"/>
      <c r="Q223" s="44"/>
      <c r="R223" s="44"/>
    </row>
    <row r="224" spans="1:18" ht="43.2" customHeight="1" x14ac:dyDescent="0.25">
      <c r="A224" s="42" t="s">
        <v>988</v>
      </c>
      <c r="B224" s="42" t="s">
        <v>989</v>
      </c>
      <c r="C224" s="42" t="s">
        <v>985</v>
      </c>
      <c r="D224" s="42" t="s">
        <v>990</v>
      </c>
      <c r="E224" s="42" t="s">
        <v>991</v>
      </c>
      <c r="F224" s="42" t="s">
        <v>389</v>
      </c>
      <c r="G224" s="45" t="s">
        <v>28</v>
      </c>
      <c r="H224" s="44"/>
      <c r="I224" s="44"/>
      <c r="J224" s="44"/>
      <c r="K224" s="45" t="s">
        <v>28</v>
      </c>
      <c r="L224" s="44"/>
      <c r="M224" s="44"/>
      <c r="N224" s="44"/>
      <c r="O224" s="44"/>
      <c r="P224" s="44"/>
      <c r="Q224" s="44"/>
      <c r="R224" s="44"/>
    </row>
    <row r="225" spans="1:18" ht="43.2" customHeight="1" x14ac:dyDescent="0.25">
      <c r="A225" s="42" t="s">
        <v>992</v>
      </c>
      <c r="B225" s="42" t="s">
        <v>993</v>
      </c>
      <c r="C225" s="42" t="s">
        <v>908</v>
      </c>
      <c r="D225" s="42" t="s">
        <v>994</v>
      </c>
      <c r="E225" s="42" t="s">
        <v>995</v>
      </c>
      <c r="F225" s="42" t="s">
        <v>323</v>
      </c>
      <c r="G225" s="45" t="s">
        <v>28</v>
      </c>
      <c r="H225" s="44"/>
      <c r="I225" s="44"/>
      <c r="J225" s="44"/>
      <c r="K225" s="45" t="s">
        <v>28</v>
      </c>
      <c r="L225" s="44"/>
      <c r="M225" s="44"/>
      <c r="N225" s="44"/>
      <c r="O225" s="44"/>
      <c r="P225" s="44"/>
      <c r="Q225" s="44"/>
      <c r="R225" s="44"/>
    </row>
    <row r="226" spans="1:18" ht="57.6" customHeight="1" x14ac:dyDescent="0.25">
      <c r="A226" s="47" t="s">
        <v>996</v>
      </c>
      <c r="B226" s="47" t="s">
        <v>997</v>
      </c>
      <c r="C226" s="57" t="s">
        <v>407</v>
      </c>
      <c r="D226" s="57" t="s">
        <v>998</v>
      </c>
      <c r="E226" s="57" t="s">
        <v>999</v>
      </c>
      <c r="F226" s="57" t="s">
        <v>323</v>
      </c>
      <c r="G226" s="45" t="s">
        <v>28</v>
      </c>
      <c r="H226" s="44"/>
      <c r="I226" s="44"/>
      <c r="J226" s="44"/>
      <c r="K226" s="45" t="s">
        <v>28</v>
      </c>
      <c r="L226" s="51"/>
      <c r="M226" s="51"/>
      <c r="N226" s="51"/>
      <c r="O226" s="51"/>
      <c r="P226" s="51"/>
      <c r="Q226" s="51"/>
      <c r="R226" s="51"/>
    </row>
    <row r="227" spans="1:18" s="81" customFormat="1" ht="14.4" customHeight="1" x14ac:dyDescent="0.25">
      <c r="A227" s="80"/>
      <c r="B227" s="138" t="s">
        <v>410</v>
      </c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40"/>
    </row>
    <row r="228" spans="1:18" s="81" customFormat="1" ht="14.4" customHeight="1" x14ac:dyDescent="0.25">
      <c r="A228" s="82"/>
      <c r="B228" s="141" t="s">
        <v>411</v>
      </c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3"/>
    </row>
    <row r="229" spans="1:18" ht="43.2" customHeight="1" x14ac:dyDescent="0.25">
      <c r="A229" s="42" t="s">
        <v>1000</v>
      </c>
      <c r="B229" s="42" t="s">
        <v>1001</v>
      </c>
      <c r="C229" s="42" t="s">
        <v>1002</v>
      </c>
      <c r="D229" s="42" t="s">
        <v>415</v>
      </c>
      <c r="E229" s="42" t="s">
        <v>416</v>
      </c>
      <c r="F229" s="42"/>
      <c r="G229" s="45" t="s">
        <v>28</v>
      </c>
      <c r="H229" s="44"/>
      <c r="I229" s="44"/>
      <c r="J229" s="44"/>
      <c r="K229" s="45" t="s">
        <v>28</v>
      </c>
      <c r="L229" s="44"/>
      <c r="M229" s="44"/>
      <c r="N229" s="44"/>
      <c r="O229" s="44"/>
      <c r="P229" s="44"/>
      <c r="Q229" s="44"/>
      <c r="R229" s="44"/>
    </row>
    <row r="230" spans="1:18" ht="43.2" customHeight="1" x14ac:dyDescent="0.25">
      <c r="A230" s="42" t="s">
        <v>1003</v>
      </c>
      <c r="B230" s="42" t="s">
        <v>1004</v>
      </c>
      <c r="C230" s="42" t="s">
        <v>1002</v>
      </c>
      <c r="D230" s="42" t="s">
        <v>419</v>
      </c>
      <c r="E230" s="42" t="s">
        <v>420</v>
      </c>
      <c r="F230" s="42"/>
      <c r="G230" s="45" t="s">
        <v>28</v>
      </c>
      <c r="H230" s="44"/>
      <c r="I230" s="44"/>
      <c r="J230" s="44"/>
      <c r="K230" s="45" t="s">
        <v>28</v>
      </c>
      <c r="L230" s="44"/>
      <c r="M230" s="44"/>
      <c r="N230" s="44"/>
      <c r="O230" s="44"/>
      <c r="P230" s="44"/>
      <c r="Q230" s="44"/>
      <c r="R230" s="44"/>
    </row>
    <row r="231" spans="1:18" ht="72" customHeight="1" x14ac:dyDescent="0.25">
      <c r="A231" s="42" t="s">
        <v>1005</v>
      </c>
      <c r="B231" s="42" t="s">
        <v>1006</v>
      </c>
      <c r="C231" s="42" t="s">
        <v>1002</v>
      </c>
      <c r="D231" s="42" t="s">
        <v>423</v>
      </c>
      <c r="E231" s="42" t="s">
        <v>424</v>
      </c>
      <c r="F231" s="42"/>
      <c r="G231" s="45" t="s">
        <v>28</v>
      </c>
      <c r="H231" s="44"/>
      <c r="I231" s="44"/>
      <c r="J231" s="44"/>
      <c r="K231" s="45" t="s">
        <v>28</v>
      </c>
      <c r="L231" s="44"/>
      <c r="M231" s="44"/>
      <c r="N231" s="44"/>
      <c r="O231" s="44"/>
      <c r="P231" s="44"/>
      <c r="Q231" s="44"/>
      <c r="R231" s="44"/>
    </row>
    <row r="232" spans="1:18" ht="43.2" customHeight="1" x14ac:dyDescent="0.25">
      <c r="A232" s="42" t="s">
        <v>1007</v>
      </c>
      <c r="B232" s="42" t="s">
        <v>1008</v>
      </c>
      <c r="C232" s="42" t="s">
        <v>1002</v>
      </c>
      <c r="D232" s="42" t="s">
        <v>427</v>
      </c>
      <c r="E232" s="42" t="s">
        <v>428</v>
      </c>
      <c r="F232" s="42"/>
      <c r="G232" s="45" t="s">
        <v>28</v>
      </c>
      <c r="H232" s="44"/>
      <c r="I232" s="44"/>
      <c r="J232" s="44"/>
      <c r="K232" s="45" t="s">
        <v>28</v>
      </c>
      <c r="L232" s="44"/>
      <c r="M232" s="44"/>
      <c r="N232" s="44"/>
      <c r="O232" s="44"/>
      <c r="P232" s="44"/>
      <c r="Q232" s="44"/>
      <c r="R232" s="44"/>
    </row>
    <row r="233" spans="1:18" ht="43.2" customHeight="1" x14ac:dyDescent="0.25">
      <c r="A233" s="42" t="s">
        <v>1009</v>
      </c>
      <c r="B233" s="42" t="s">
        <v>1010</v>
      </c>
      <c r="C233" s="42" t="s">
        <v>1002</v>
      </c>
      <c r="D233" s="42" t="s">
        <v>431</v>
      </c>
      <c r="E233" s="42" t="s">
        <v>428</v>
      </c>
      <c r="F233" s="42"/>
      <c r="G233" s="45" t="s">
        <v>28</v>
      </c>
      <c r="H233" s="44"/>
      <c r="I233" s="44"/>
      <c r="J233" s="44"/>
      <c r="K233" s="45" t="s">
        <v>28</v>
      </c>
      <c r="L233" s="44"/>
      <c r="M233" s="44"/>
      <c r="N233" s="44"/>
      <c r="O233" s="44"/>
      <c r="P233" s="44"/>
      <c r="Q233" s="44"/>
      <c r="R233" s="44"/>
    </row>
    <row r="234" spans="1:18" ht="43.2" customHeight="1" x14ac:dyDescent="0.25">
      <c r="A234" s="42" t="s">
        <v>1011</v>
      </c>
      <c r="B234" s="42" t="s">
        <v>1012</v>
      </c>
      <c r="C234" s="42" t="s">
        <v>1002</v>
      </c>
      <c r="D234" s="42" t="s">
        <v>434</v>
      </c>
      <c r="E234" s="42" t="s">
        <v>435</v>
      </c>
      <c r="F234" s="42"/>
      <c r="G234" s="45" t="s">
        <v>28</v>
      </c>
      <c r="H234" s="44"/>
      <c r="I234" s="44"/>
      <c r="J234" s="44"/>
      <c r="K234" s="45" t="s">
        <v>28</v>
      </c>
      <c r="L234" s="44"/>
      <c r="M234" s="44"/>
      <c r="N234" s="44"/>
      <c r="O234" s="44"/>
      <c r="P234" s="44"/>
      <c r="Q234" s="44"/>
      <c r="R234" s="44"/>
    </row>
    <row r="235" spans="1:18" ht="28.8" customHeight="1" x14ac:dyDescent="0.25">
      <c r="A235" s="42" t="s">
        <v>1013</v>
      </c>
      <c r="B235" s="42" t="s">
        <v>1014</v>
      </c>
      <c r="C235" s="42" t="s">
        <v>1002</v>
      </c>
      <c r="D235" s="42" t="s">
        <v>438</v>
      </c>
      <c r="E235" s="42" t="s">
        <v>439</v>
      </c>
      <c r="F235" s="42"/>
      <c r="G235" s="45" t="s">
        <v>28</v>
      </c>
      <c r="H235" s="44"/>
      <c r="I235" s="44"/>
      <c r="J235" s="44"/>
      <c r="K235" s="45" t="s">
        <v>28</v>
      </c>
      <c r="L235" s="44"/>
      <c r="M235" s="44"/>
      <c r="N235" s="44"/>
      <c r="O235" s="44"/>
      <c r="P235" s="44"/>
      <c r="Q235" s="44"/>
      <c r="R235" s="44"/>
    </row>
    <row r="236" spans="1:18" ht="28.8" customHeight="1" x14ac:dyDescent="0.25">
      <c r="A236" s="47" t="s">
        <v>1015</v>
      </c>
      <c r="B236" s="47" t="s">
        <v>1016</v>
      </c>
      <c r="C236" s="57" t="s">
        <v>1002</v>
      </c>
      <c r="D236" s="57" t="s">
        <v>442</v>
      </c>
      <c r="E236" s="57" t="s">
        <v>439</v>
      </c>
      <c r="F236" s="49"/>
      <c r="G236" s="45" t="s">
        <v>28</v>
      </c>
      <c r="H236" s="49"/>
      <c r="I236" s="49"/>
      <c r="J236" s="49"/>
      <c r="K236" s="45" t="s">
        <v>28</v>
      </c>
      <c r="L236" s="49"/>
      <c r="M236" s="49"/>
      <c r="N236" s="49"/>
      <c r="O236" s="49"/>
      <c r="P236" s="49"/>
      <c r="Q236" s="49"/>
      <c r="R236" s="49"/>
    </row>
    <row r="237" spans="1:18" s="81" customFormat="1" ht="14.4" customHeight="1" x14ac:dyDescent="0.25">
      <c r="A237" s="82"/>
      <c r="B237" s="126" t="s">
        <v>443</v>
      </c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8"/>
    </row>
    <row r="238" spans="1:18" ht="43.2" customHeight="1" x14ac:dyDescent="0.25">
      <c r="A238" s="42" t="s">
        <v>1017</v>
      </c>
      <c r="B238" s="42" t="s">
        <v>1018</v>
      </c>
      <c r="C238" s="42" t="s">
        <v>1002</v>
      </c>
      <c r="D238" s="42" t="s">
        <v>446</v>
      </c>
      <c r="E238" s="42" t="s">
        <v>447</v>
      </c>
      <c r="F238" s="42"/>
      <c r="G238" s="45" t="s">
        <v>28</v>
      </c>
      <c r="H238" s="44"/>
      <c r="I238" s="44"/>
      <c r="J238" s="44"/>
      <c r="K238" s="45" t="s">
        <v>28</v>
      </c>
      <c r="L238" s="44"/>
      <c r="M238" s="44"/>
      <c r="N238" s="44"/>
      <c r="O238" s="44"/>
      <c r="P238" s="44"/>
      <c r="Q238" s="44"/>
      <c r="R238" s="44"/>
    </row>
    <row r="239" spans="1:18" ht="43.2" customHeight="1" x14ac:dyDescent="0.25">
      <c r="A239" s="42" t="s">
        <v>1019</v>
      </c>
      <c r="B239" s="42" t="s">
        <v>1020</v>
      </c>
      <c r="C239" s="42" t="s">
        <v>1002</v>
      </c>
      <c r="D239" s="42" t="s">
        <v>450</v>
      </c>
      <c r="E239" s="42" t="s">
        <v>447</v>
      </c>
      <c r="F239" s="42"/>
      <c r="G239" s="45" t="s">
        <v>28</v>
      </c>
      <c r="H239" s="44"/>
      <c r="I239" s="44"/>
      <c r="J239" s="44"/>
      <c r="K239" s="45" t="s">
        <v>28</v>
      </c>
      <c r="L239" s="44"/>
      <c r="M239" s="44"/>
      <c r="N239" s="44"/>
      <c r="O239" s="44"/>
      <c r="P239" s="44"/>
      <c r="Q239" s="44"/>
      <c r="R239" s="44"/>
    </row>
    <row r="240" spans="1:18" ht="57.6" customHeight="1" x14ac:dyDescent="0.25">
      <c r="A240" s="42" t="s">
        <v>1021</v>
      </c>
      <c r="B240" s="42" t="s">
        <v>1022</v>
      </c>
      <c r="C240" s="42" t="s">
        <v>1002</v>
      </c>
      <c r="D240" s="42" t="s">
        <v>453</v>
      </c>
      <c r="E240" s="42" t="s">
        <v>454</v>
      </c>
      <c r="F240" s="42"/>
      <c r="G240" s="45" t="s">
        <v>28</v>
      </c>
      <c r="H240" s="44"/>
      <c r="I240" s="44"/>
      <c r="J240" s="44"/>
      <c r="K240" s="45" t="s">
        <v>28</v>
      </c>
      <c r="L240" s="44"/>
      <c r="M240" s="44"/>
      <c r="N240" s="44"/>
      <c r="O240" s="44"/>
      <c r="P240" s="44"/>
      <c r="Q240" s="44"/>
      <c r="R240" s="44"/>
    </row>
    <row r="241" spans="1:18" ht="57.6" customHeight="1" x14ac:dyDescent="0.25">
      <c r="A241" s="42" t="s">
        <v>1023</v>
      </c>
      <c r="B241" s="42" t="s">
        <v>1024</v>
      </c>
      <c r="C241" s="42" t="s">
        <v>1002</v>
      </c>
      <c r="D241" s="42" t="s">
        <v>457</v>
      </c>
      <c r="E241" s="42" t="s">
        <v>458</v>
      </c>
      <c r="F241" s="42"/>
      <c r="G241" s="45" t="s">
        <v>28</v>
      </c>
      <c r="H241" s="44"/>
      <c r="I241" s="44"/>
      <c r="J241" s="44"/>
      <c r="K241" s="45" t="s">
        <v>28</v>
      </c>
      <c r="L241" s="44"/>
      <c r="M241" s="44"/>
      <c r="N241" s="44"/>
      <c r="O241" s="44"/>
      <c r="P241" s="44"/>
      <c r="Q241" s="44"/>
      <c r="R241" s="44"/>
    </row>
    <row r="242" spans="1:18" ht="57.6" customHeight="1" x14ac:dyDescent="0.25">
      <c r="A242" s="42" t="s">
        <v>1025</v>
      </c>
      <c r="B242" s="42" t="s">
        <v>1026</v>
      </c>
      <c r="C242" s="42" t="s">
        <v>1002</v>
      </c>
      <c r="D242" s="42" t="s">
        <v>461</v>
      </c>
      <c r="E242" s="42" t="s">
        <v>462</v>
      </c>
      <c r="F242" s="42"/>
      <c r="G242" s="45" t="s">
        <v>28</v>
      </c>
      <c r="H242" s="44"/>
      <c r="I242" s="44"/>
      <c r="J242" s="44"/>
      <c r="K242" s="45" t="s">
        <v>28</v>
      </c>
      <c r="L242" s="44"/>
      <c r="M242" s="44"/>
      <c r="N242" s="44"/>
      <c r="O242" s="44"/>
      <c r="P242" s="44"/>
      <c r="Q242" s="44"/>
      <c r="R242" s="44"/>
    </row>
    <row r="243" spans="1:18" ht="57.6" customHeight="1" x14ac:dyDescent="0.25">
      <c r="A243" s="42" t="s">
        <v>1027</v>
      </c>
      <c r="B243" s="42" t="s">
        <v>1028</v>
      </c>
      <c r="C243" s="42" t="s">
        <v>1002</v>
      </c>
      <c r="D243" s="42" t="s">
        <v>1038</v>
      </c>
      <c r="E243" s="42" t="s">
        <v>465</v>
      </c>
      <c r="F243" s="42"/>
      <c r="G243" s="45" t="s">
        <v>28</v>
      </c>
      <c r="H243" s="44"/>
      <c r="I243" s="44"/>
      <c r="J243" s="44"/>
      <c r="K243" s="45" t="s">
        <v>28</v>
      </c>
      <c r="L243" s="44"/>
      <c r="M243" s="44"/>
      <c r="N243" s="44"/>
      <c r="O243" s="44"/>
      <c r="P243" s="44"/>
      <c r="Q243" s="44"/>
      <c r="R243" s="44"/>
    </row>
    <row r="244" spans="1:18" ht="57.6" customHeight="1" x14ac:dyDescent="0.25">
      <c r="A244" s="42" t="s">
        <v>1029</v>
      </c>
      <c r="B244" s="42" t="s">
        <v>1030</v>
      </c>
      <c r="C244" s="42" t="s">
        <v>1002</v>
      </c>
      <c r="D244" s="42" t="s">
        <v>1050</v>
      </c>
      <c r="E244" s="42" t="s">
        <v>468</v>
      </c>
      <c r="F244" s="42"/>
      <c r="G244" s="45" t="s">
        <v>28</v>
      </c>
      <c r="H244" s="44"/>
      <c r="I244" s="44"/>
      <c r="J244" s="44"/>
      <c r="K244" s="45" t="s">
        <v>28</v>
      </c>
      <c r="L244" s="44"/>
      <c r="M244" s="44"/>
      <c r="N244" s="44"/>
      <c r="O244" s="44"/>
      <c r="P244" s="44"/>
      <c r="Q244" s="44"/>
      <c r="R244" s="44"/>
    </row>
    <row r="245" spans="1:18" ht="57.6" customHeight="1" x14ac:dyDescent="0.25">
      <c r="A245" s="42" t="s">
        <v>1031</v>
      </c>
      <c r="B245" s="42" t="s">
        <v>1032</v>
      </c>
      <c r="C245" s="42" t="s">
        <v>1002</v>
      </c>
      <c r="D245" s="42" t="s">
        <v>1040</v>
      </c>
      <c r="E245" s="42" t="s">
        <v>471</v>
      </c>
      <c r="F245" s="42"/>
      <c r="G245" s="45" t="s">
        <v>28</v>
      </c>
      <c r="H245" s="44"/>
      <c r="I245" s="44"/>
      <c r="J245" s="44"/>
      <c r="K245" s="45" t="s">
        <v>28</v>
      </c>
      <c r="L245" s="44"/>
      <c r="M245" s="44"/>
      <c r="N245" s="44"/>
      <c r="O245" s="44"/>
      <c r="P245" s="44"/>
      <c r="Q245" s="44"/>
      <c r="R245" s="44"/>
    </row>
  </sheetData>
  <mergeCells count="45">
    <mergeCell ref="D2:F2"/>
    <mergeCell ref="N1:N5"/>
    <mergeCell ref="B3:C3"/>
    <mergeCell ref="O6:P6"/>
    <mergeCell ref="A6:A7"/>
    <mergeCell ref="G1:G5"/>
    <mergeCell ref="K6:N6"/>
    <mergeCell ref="B2:C2"/>
    <mergeCell ref="D4:F4"/>
    <mergeCell ref="D3:F3"/>
    <mergeCell ref="E6:E7"/>
    <mergeCell ref="B1:C1"/>
    <mergeCell ref="B6:B7"/>
    <mergeCell ref="B9:R9"/>
    <mergeCell ref="B4:C4"/>
    <mergeCell ref="B5:C5"/>
    <mergeCell ref="C6:C7"/>
    <mergeCell ref="Q1:Q5"/>
    <mergeCell ref="F6:F7"/>
    <mergeCell ref="B8:R8"/>
    <mergeCell ref="H1:H5"/>
    <mergeCell ref="P1:P5"/>
    <mergeCell ref="D5:F5"/>
    <mergeCell ref="D6:D7"/>
    <mergeCell ref="Q6:R6"/>
    <mergeCell ref="D1:F1"/>
    <mergeCell ref="K1:K5"/>
    <mergeCell ref="G6:J6"/>
    <mergeCell ref="O1:O5"/>
    <mergeCell ref="B26:R26"/>
    <mergeCell ref="B84:R84"/>
    <mergeCell ref="B74:R74"/>
    <mergeCell ref="B75:R75"/>
    <mergeCell ref="B93:R93"/>
    <mergeCell ref="B94:R94"/>
    <mergeCell ref="B106:R106"/>
    <mergeCell ref="B160:R160"/>
    <mergeCell ref="B161:R161"/>
    <mergeCell ref="B170:R170"/>
    <mergeCell ref="B237:R237"/>
    <mergeCell ref="B179:R179"/>
    <mergeCell ref="B180:R180"/>
    <mergeCell ref="B196:R196"/>
    <mergeCell ref="B227:R227"/>
    <mergeCell ref="B228:R228"/>
  </mergeCells>
  <dataValidations count="1">
    <dataValidation type="list" allowBlank="1" showErrorMessage="1" sqref="O85:O86 O27:O29 O10 Q27:Q29 O32 K85:K87 Q10 G85:G87 Q32 K10:K25 Q12:Q25 O12:O25 G10:G25 O76:O83 Q76:Q83 K89:K92 Q85:Q86 Q34:Q73 O34:O73 G197:G215 G27:G73 K95:K105 K107:K159 G107:G159 G162:G169 K162:K169 K171:K178 G171:G178 K181:K195 G181:G195 K197:K215 K27:K73 G95:G105 G89:G92 G76:G83 K76:K83">
      <formula1>"Fail,Pass,N/A,Untested,Pending"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7"/>
  <sheetViews>
    <sheetView tabSelected="1" topLeftCell="A40" zoomScaleNormal="100" workbookViewId="0">
      <selection activeCell="A69" sqref="A69"/>
    </sheetView>
  </sheetViews>
  <sheetFormatPr defaultColWidth="12.6640625" defaultRowHeight="15" customHeight="1" x14ac:dyDescent="0.25"/>
  <cols>
    <col min="1" max="1" width="12.6640625" style="60" customWidth="1"/>
    <col min="2" max="2" width="16.109375" style="60" customWidth="1"/>
    <col min="3" max="3" width="19.88671875" style="60" customWidth="1"/>
    <col min="4" max="4" width="37.33203125" style="60" customWidth="1"/>
    <col min="5" max="5" width="50.33203125" style="60" customWidth="1"/>
    <col min="6" max="6" width="48.6640625" style="60" customWidth="1"/>
    <col min="7" max="7" width="12.6640625" style="60" customWidth="1"/>
    <col min="8" max="8" width="16" style="60" customWidth="1"/>
  </cols>
  <sheetData>
    <row r="1" spans="1:26" ht="15.75" customHeight="1" x14ac:dyDescent="0.25">
      <c r="A1" s="184" t="s">
        <v>79</v>
      </c>
      <c r="B1" s="33"/>
      <c r="C1" s="30"/>
      <c r="D1" s="31"/>
      <c r="E1" s="31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25">
      <c r="A2" s="33"/>
      <c r="B2" s="33"/>
      <c r="C2" s="30"/>
      <c r="D2" s="31"/>
      <c r="E2" s="31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25">
      <c r="A3" s="33"/>
      <c r="B3" s="33"/>
      <c r="C3" s="30"/>
      <c r="D3" s="31"/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25">
      <c r="A4" s="33"/>
      <c r="B4" s="33"/>
      <c r="C4" s="30"/>
      <c r="D4" s="31"/>
      <c r="E4" s="31"/>
      <c r="F4" s="3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5">
      <c r="A5" s="33"/>
      <c r="B5" s="33"/>
      <c r="C5" s="30"/>
      <c r="D5" s="31"/>
      <c r="E5" s="31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5">
      <c r="A6" s="33"/>
      <c r="B6" s="33"/>
      <c r="C6" s="30"/>
      <c r="D6" s="31"/>
      <c r="E6" s="31"/>
      <c r="F6" s="32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5">
      <c r="A7" s="33"/>
      <c r="B7" s="33"/>
      <c r="C7" s="30"/>
      <c r="D7" s="31"/>
      <c r="E7" s="31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5">
      <c r="A8" s="33"/>
      <c r="B8" s="33"/>
      <c r="C8" s="30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5">
      <c r="A9" s="33"/>
      <c r="B9" s="33"/>
      <c r="C9" s="30"/>
      <c r="D9" s="31"/>
      <c r="E9" s="31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5">
      <c r="A10" s="33"/>
      <c r="B10" s="33"/>
      <c r="C10" s="30"/>
      <c r="D10" s="31"/>
      <c r="E10" s="31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5">
      <c r="A11" s="33"/>
      <c r="B11" s="33"/>
      <c r="C11" s="30"/>
      <c r="D11" s="31"/>
      <c r="E11" s="31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33"/>
      <c r="B12" s="33"/>
      <c r="C12" s="30"/>
      <c r="D12" s="31"/>
      <c r="E12" s="31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33"/>
      <c r="B13" s="33"/>
      <c r="C13" s="30"/>
      <c r="D13" s="31"/>
      <c r="E13" s="31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5">
      <c r="A14" s="33"/>
      <c r="B14" s="33"/>
      <c r="C14" s="30"/>
      <c r="D14" s="31"/>
      <c r="E14" s="31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5">
      <c r="A15" s="33"/>
      <c r="B15" s="33"/>
      <c r="C15" s="30"/>
      <c r="D15" s="31"/>
      <c r="E15" s="31"/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5">
      <c r="A16" s="33"/>
      <c r="B16" s="33"/>
      <c r="C16" s="30"/>
      <c r="D16" s="31"/>
      <c r="E16" s="31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25">
      <c r="A17" s="33"/>
      <c r="B17" s="33"/>
      <c r="C17" s="30"/>
      <c r="D17" s="31"/>
      <c r="E17" s="31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 x14ac:dyDescent="0.25">
      <c r="A18" s="33"/>
      <c r="B18" s="33"/>
      <c r="C18" s="30"/>
      <c r="D18" s="31"/>
      <c r="E18" s="31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25">
      <c r="A19" s="33"/>
      <c r="B19" s="33"/>
      <c r="C19" s="30"/>
      <c r="D19" s="31"/>
      <c r="E19" s="31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25">
      <c r="A20" s="33"/>
      <c r="B20" s="33"/>
      <c r="C20" s="30"/>
      <c r="D20" s="31"/>
      <c r="E20" s="31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5">
      <c r="A21" s="33"/>
      <c r="B21" s="33"/>
      <c r="C21" s="30"/>
      <c r="D21" s="31"/>
      <c r="E21" s="31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5">
      <c r="A22" s="33"/>
      <c r="B22" s="33"/>
      <c r="C22" s="30"/>
      <c r="D22" s="31"/>
      <c r="E22" s="31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5">
      <c r="A23" s="33"/>
      <c r="B23" s="33"/>
      <c r="C23" s="30"/>
      <c r="D23" s="31"/>
      <c r="E23" s="31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5">
      <c r="A24" s="33"/>
      <c r="B24" s="33"/>
      <c r="C24" s="30"/>
      <c r="D24" s="31"/>
      <c r="E24" s="31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5">
      <c r="A25" s="33"/>
      <c r="B25" s="33"/>
      <c r="C25" s="30"/>
      <c r="D25" s="31"/>
      <c r="E25" s="31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5">
      <c r="A26" s="33"/>
      <c r="B26" s="33"/>
      <c r="C26" s="30"/>
      <c r="D26" s="31"/>
      <c r="E26" s="31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5">
      <c r="A27" s="33"/>
      <c r="B27" s="33"/>
      <c r="C27" s="30"/>
      <c r="D27" s="31"/>
      <c r="E27" s="31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5">
      <c r="A28" s="33"/>
      <c r="B28" s="33"/>
      <c r="C28" s="30"/>
      <c r="D28" s="31"/>
      <c r="E28" s="31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33"/>
      <c r="B29" s="33"/>
      <c r="C29" s="30"/>
      <c r="D29" s="31"/>
      <c r="E29" s="31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5">
      <c r="A30" s="33"/>
      <c r="B30" s="33"/>
      <c r="C30" s="30"/>
      <c r="D30" s="31"/>
      <c r="E30" s="31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5">
      <c r="A31" s="33"/>
      <c r="B31" s="33"/>
      <c r="C31" s="30"/>
      <c r="D31" s="31"/>
      <c r="E31" s="31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5">
      <c r="A32" s="33"/>
      <c r="B32" s="33"/>
      <c r="C32" s="30"/>
      <c r="D32" s="31"/>
      <c r="E32" s="31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5">
      <c r="A33" s="33"/>
      <c r="B33" s="33"/>
      <c r="C33" s="30"/>
      <c r="D33" s="31"/>
      <c r="E33" s="31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5">
      <c r="A34" s="33"/>
      <c r="B34" s="33"/>
      <c r="C34" s="30"/>
      <c r="D34" s="31"/>
      <c r="E34" s="31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5">
      <c r="A35" s="33"/>
      <c r="B35" s="33"/>
      <c r="C35" s="30"/>
      <c r="D35" s="31"/>
      <c r="E35" s="31"/>
      <c r="F35" s="3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25">
      <c r="A36" s="33" t="s">
        <v>1052</v>
      </c>
      <c r="B36" s="33"/>
      <c r="C36" s="30"/>
      <c r="D36" s="31"/>
      <c r="E36" s="31"/>
      <c r="F36" s="3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25">
      <c r="A37" s="33"/>
      <c r="B37" s="33"/>
      <c r="C37" s="30"/>
      <c r="D37" s="31"/>
      <c r="E37" s="31"/>
      <c r="F37" s="32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5">
      <c r="A38" s="33"/>
      <c r="B38" s="33"/>
      <c r="C38" s="30"/>
      <c r="D38" s="31"/>
      <c r="E38" s="31"/>
      <c r="F38" s="32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25">
      <c r="A39" s="33"/>
      <c r="B39" s="33"/>
      <c r="C39" s="30"/>
      <c r="D39" s="31"/>
      <c r="E39" s="31"/>
      <c r="F39" s="3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25">
      <c r="A40" s="33"/>
      <c r="B40" s="33"/>
      <c r="C40" s="30"/>
      <c r="D40" s="31"/>
      <c r="E40" s="31"/>
      <c r="F40" s="3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25">
      <c r="A41" s="33"/>
      <c r="B41" s="33"/>
      <c r="C41" s="30"/>
      <c r="D41" s="31"/>
      <c r="E41" s="31"/>
      <c r="F41" s="32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25">
      <c r="A42" s="33"/>
      <c r="B42" s="33"/>
      <c r="C42" s="30"/>
      <c r="D42" s="31"/>
      <c r="E42" s="31"/>
      <c r="F42" s="3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25">
      <c r="A43" s="33"/>
      <c r="B43" s="33"/>
      <c r="C43" s="30"/>
      <c r="D43" s="31"/>
      <c r="E43" s="31"/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25">
      <c r="A44" s="33"/>
      <c r="B44" s="33"/>
      <c r="C44" s="30"/>
      <c r="D44" s="31"/>
      <c r="E44" s="31"/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25">
      <c r="A45" s="33"/>
      <c r="B45" s="33"/>
      <c r="C45" s="30"/>
      <c r="D45" s="31"/>
      <c r="E45" s="31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25">
      <c r="A46" s="33"/>
      <c r="B46" s="33"/>
      <c r="C46" s="30"/>
      <c r="D46" s="31"/>
      <c r="E46" s="31"/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5">
      <c r="A47" s="33"/>
      <c r="B47" s="33"/>
      <c r="C47" s="30"/>
      <c r="D47" s="31"/>
      <c r="E47" s="31"/>
      <c r="F47" s="32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25">
      <c r="A48" s="33"/>
      <c r="B48" s="33"/>
      <c r="C48" s="30"/>
      <c r="D48" s="31"/>
      <c r="E48" s="31"/>
      <c r="F48" s="3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25">
      <c r="A49" s="33"/>
      <c r="B49" s="33"/>
      <c r="C49" s="30"/>
      <c r="D49" s="31"/>
      <c r="E49" s="31"/>
      <c r="F49" s="3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25">
      <c r="A50" s="33"/>
      <c r="B50" s="33"/>
      <c r="C50" s="30"/>
      <c r="D50" s="31"/>
      <c r="E50" s="31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25">
      <c r="A51" s="33"/>
      <c r="B51" s="33"/>
      <c r="C51" s="30"/>
      <c r="D51" s="31"/>
      <c r="E51" s="31"/>
      <c r="F51" s="3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25">
      <c r="A52" s="33"/>
      <c r="B52" s="33"/>
      <c r="C52" s="30"/>
      <c r="D52" s="31"/>
      <c r="E52" s="31"/>
      <c r="F52" s="3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25">
      <c r="A53" s="33"/>
      <c r="B53" s="33"/>
      <c r="C53" s="30"/>
      <c r="D53" s="31"/>
      <c r="E53" s="31"/>
      <c r="F53" s="3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25">
      <c r="A54" s="33"/>
      <c r="B54" s="33"/>
      <c r="C54" s="30"/>
      <c r="D54" s="31"/>
      <c r="E54" s="31"/>
      <c r="F54" s="3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25">
      <c r="A55" s="33"/>
      <c r="B55" s="33"/>
      <c r="C55" s="30"/>
      <c r="D55" s="31"/>
      <c r="E55" s="31"/>
      <c r="F55" s="3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25">
      <c r="A56" s="33"/>
      <c r="B56" s="33"/>
      <c r="C56" s="30"/>
      <c r="D56" s="31"/>
      <c r="E56" s="31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25">
      <c r="A57" s="33"/>
      <c r="B57" s="33"/>
      <c r="C57" s="30"/>
      <c r="D57" s="31"/>
      <c r="E57" s="31"/>
      <c r="F57" s="32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25">
      <c r="A58" s="33"/>
      <c r="B58" s="33"/>
      <c r="C58" s="30"/>
      <c r="D58" s="31"/>
      <c r="E58" s="31"/>
      <c r="F58" s="32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25">
      <c r="A59" s="33"/>
      <c r="B59" s="33"/>
      <c r="C59" s="30"/>
      <c r="D59" s="31"/>
      <c r="E59" s="31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25">
      <c r="A60" s="33"/>
      <c r="B60" s="33"/>
      <c r="C60" s="30"/>
      <c r="D60" s="31"/>
      <c r="E60" s="31"/>
      <c r="F60" s="32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25">
      <c r="A61" s="33"/>
      <c r="B61" s="33"/>
      <c r="C61" s="30"/>
      <c r="D61" s="31"/>
      <c r="E61" s="31"/>
      <c r="F61" s="3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25">
      <c r="A62" s="33"/>
      <c r="B62" s="33"/>
      <c r="C62" s="30"/>
      <c r="D62" s="31"/>
      <c r="E62" s="31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25">
      <c r="A63" s="33"/>
      <c r="B63" s="33"/>
      <c r="C63" s="30"/>
      <c r="D63" s="31"/>
      <c r="E63" s="31"/>
      <c r="F63" s="3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25">
      <c r="A64" s="33"/>
      <c r="B64" s="33"/>
      <c r="C64" s="30"/>
      <c r="D64" s="31"/>
      <c r="E64" s="31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25">
      <c r="A65" s="33"/>
      <c r="B65" s="33"/>
      <c r="C65" s="30"/>
      <c r="D65" s="31"/>
      <c r="E65" s="31"/>
      <c r="F65" s="3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25">
      <c r="A66" s="33"/>
      <c r="B66" s="33"/>
      <c r="C66" s="30"/>
      <c r="D66" s="31"/>
      <c r="E66" s="31"/>
      <c r="F66" s="3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25">
      <c r="A67" s="33" t="s">
        <v>777</v>
      </c>
      <c r="B67" s="33"/>
      <c r="C67" s="30"/>
      <c r="D67" s="31"/>
      <c r="E67" s="31"/>
      <c r="F67" s="3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25">
      <c r="A68" s="33"/>
      <c r="B68" s="33"/>
      <c r="C68" s="30"/>
      <c r="D68" s="31"/>
      <c r="E68" s="31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25">
      <c r="A69" s="33"/>
      <c r="B69" s="33"/>
      <c r="C69" s="30"/>
      <c r="D69" s="31"/>
      <c r="E69" s="31"/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25">
      <c r="A70" s="33"/>
      <c r="B70" s="33"/>
      <c r="C70" s="30"/>
      <c r="D70" s="31"/>
      <c r="E70" s="31"/>
      <c r="F70" s="3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25">
      <c r="A71" s="33"/>
      <c r="B71" s="33"/>
      <c r="C71" s="30"/>
      <c r="D71" s="31"/>
      <c r="E71" s="31"/>
      <c r="F71" s="3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5">
      <c r="A72" s="33"/>
      <c r="B72" s="33"/>
      <c r="C72" s="30"/>
      <c r="D72" s="31"/>
      <c r="E72" s="31"/>
      <c r="F72" s="3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25">
      <c r="A73" s="33"/>
      <c r="B73" s="33"/>
      <c r="C73" s="30"/>
      <c r="D73" s="31"/>
      <c r="E73" s="31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25">
      <c r="A74" s="33"/>
      <c r="B74" s="33"/>
      <c r="C74" s="30"/>
      <c r="D74" s="31"/>
      <c r="E74" s="31"/>
      <c r="F74" s="3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25">
      <c r="A75" s="33"/>
      <c r="B75" s="33"/>
      <c r="C75" s="30"/>
      <c r="D75" s="31"/>
      <c r="E75" s="31"/>
      <c r="F75" s="3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25">
      <c r="A76" s="33"/>
      <c r="B76" s="33"/>
      <c r="C76" s="30"/>
      <c r="D76" s="31"/>
      <c r="E76" s="31"/>
      <c r="F76" s="3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25">
      <c r="A77" s="33"/>
      <c r="B77" s="33"/>
      <c r="C77" s="30"/>
      <c r="D77" s="31"/>
      <c r="E77" s="31"/>
      <c r="F77" s="3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25">
      <c r="A78" s="33"/>
      <c r="B78" s="33"/>
      <c r="C78" s="30"/>
      <c r="D78" s="31"/>
      <c r="E78" s="31"/>
      <c r="F78" s="3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25">
      <c r="A79" s="33"/>
      <c r="B79" s="33"/>
      <c r="C79" s="30"/>
      <c r="D79" s="31"/>
      <c r="E79" s="31"/>
      <c r="F79" s="3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25">
      <c r="A80" s="33"/>
      <c r="B80" s="33"/>
      <c r="C80" s="30"/>
      <c r="D80" s="31"/>
      <c r="E80" s="31"/>
      <c r="F80" s="3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25">
      <c r="A81" s="33"/>
      <c r="B81" s="33"/>
      <c r="C81" s="30"/>
      <c r="D81" s="31"/>
      <c r="E81" s="31"/>
      <c r="F81" s="3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25">
      <c r="A82" s="33"/>
      <c r="B82" s="33"/>
      <c r="C82" s="30"/>
      <c r="D82" s="31"/>
      <c r="E82" s="31"/>
      <c r="F82" s="3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25">
      <c r="A83" s="33"/>
      <c r="B83" s="33"/>
      <c r="C83" s="30"/>
      <c r="D83" s="31"/>
      <c r="E83" s="31"/>
      <c r="F83" s="3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25">
      <c r="A84" s="33"/>
      <c r="B84" s="33"/>
      <c r="C84" s="30"/>
      <c r="D84" s="31"/>
      <c r="E84" s="31"/>
      <c r="F84" s="3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25">
      <c r="A85" s="33"/>
      <c r="B85" s="33"/>
      <c r="C85" s="30"/>
      <c r="D85" s="31"/>
      <c r="E85" s="31"/>
      <c r="F85" s="3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25">
      <c r="A86" s="33"/>
      <c r="B86" s="33"/>
      <c r="C86" s="30"/>
      <c r="D86" s="31"/>
      <c r="E86" s="31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25">
      <c r="A87" s="33"/>
      <c r="B87" s="33"/>
      <c r="C87" s="30"/>
      <c r="D87" s="31"/>
      <c r="E87" s="31"/>
      <c r="F87" s="3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25">
      <c r="A88" s="33"/>
      <c r="B88" s="33"/>
      <c r="C88" s="30"/>
      <c r="D88" s="31"/>
      <c r="E88" s="31"/>
      <c r="F88" s="3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25">
      <c r="A89" s="33"/>
      <c r="B89" s="33"/>
      <c r="C89" s="30"/>
      <c r="D89" s="31"/>
      <c r="E89" s="31"/>
      <c r="F89" s="3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25">
      <c r="A90" s="33"/>
      <c r="B90" s="33"/>
      <c r="C90" s="30"/>
      <c r="D90" s="31"/>
      <c r="E90" s="31"/>
      <c r="F90" s="3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25">
      <c r="A91" s="33"/>
      <c r="B91" s="33"/>
      <c r="C91" s="30"/>
      <c r="D91" s="31"/>
      <c r="E91" s="31"/>
      <c r="F91" s="3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25">
      <c r="A92" s="33"/>
      <c r="B92" s="33"/>
      <c r="C92" s="30"/>
      <c r="D92" s="31"/>
      <c r="E92" s="31"/>
      <c r="F92" s="3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25">
      <c r="A93" s="33"/>
      <c r="B93" s="33"/>
      <c r="C93" s="30"/>
      <c r="D93" s="31"/>
      <c r="E93" s="31"/>
      <c r="F93" s="3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25">
      <c r="A94" s="33"/>
      <c r="B94" s="33"/>
      <c r="C94" s="30"/>
      <c r="D94" s="31"/>
      <c r="E94" s="31"/>
      <c r="F94" s="3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25">
      <c r="A95" s="33"/>
      <c r="B95" s="33"/>
      <c r="C95" s="30"/>
      <c r="D95" s="31"/>
      <c r="E95" s="31"/>
      <c r="F95" s="3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25">
      <c r="A96" s="33"/>
      <c r="B96" s="33"/>
      <c r="C96" s="30"/>
      <c r="D96" s="31"/>
      <c r="E96" s="31"/>
      <c r="F96" s="3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25">
      <c r="A97" s="33"/>
      <c r="B97" s="33"/>
      <c r="C97" s="30"/>
      <c r="D97" s="31"/>
      <c r="E97" s="31"/>
      <c r="F97" s="3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25">
      <c r="A98" s="33"/>
      <c r="B98" s="33"/>
      <c r="C98" s="30"/>
      <c r="D98" s="31"/>
      <c r="E98" s="31"/>
      <c r="F98" s="3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25">
      <c r="A99" s="33"/>
      <c r="B99" s="33"/>
      <c r="C99" s="30"/>
      <c r="D99" s="31"/>
      <c r="E99" s="31"/>
      <c r="F99" s="3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25">
      <c r="A100" s="33"/>
      <c r="B100" s="33"/>
      <c r="C100" s="30"/>
      <c r="D100" s="31"/>
      <c r="E100" s="31"/>
      <c r="F100" s="3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25">
      <c r="A101" s="33"/>
      <c r="B101" s="33"/>
      <c r="C101" s="30"/>
      <c r="D101" s="31"/>
      <c r="E101" s="31"/>
      <c r="F101" s="3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25">
      <c r="A102" s="33"/>
      <c r="B102" s="33"/>
      <c r="C102" s="30"/>
      <c r="D102" s="31"/>
      <c r="E102" s="31"/>
      <c r="F102" s="3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25">
      <c r="A103" s="33"/>
      <c r="B103" s="33"/>
      <c r="C103" s="30"/>
      <c r="D103" s="31"/>
      <c r="E103" s="31"/>
      <c r="F103" s="3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25">
      <c r="A104" s="33"/>
      <c r="B104" s="33"/>
      <c r="C104" s="30"/>
      <c r="D104" s="31"/>
      <c r="E104" s="31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25">
      <c r="A105" s="33"/>
      <c r="B105" s="33"/>
      <c r="C105" s="30"/>
      <c r="D105" s="31"/>
      <c r="E105" s="31"/>
      <c r="F105" s="3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25">
      <c r="A106" s="33"/>
      <c r="B106" s="33"/>
      <c r="C106" s="30"/>
      <c r="D106" s="31"/>
      <c r="E106" s="31"/>
      <c r="F106" s="3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25">
      <c r="A107" s="33"/>
      <c r="B107" s="33"/>
      <c r="C107" s="30"/>
      <c r="D107" s="31"/>
      <c r="E107" s="31"/>
      <c r="F107" s="3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25">
      <c r="A108" s="33"/>
      <c r="B108" s="33"/>
      <c r="C108" s="30"/>
      <c r="D108" s="31"/>
      <c r="E108" s="31"/>
      <c r="F108" s="3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25">
      <c r="A109" s="33"/>
      <c r="B109" s="33"/>
      <c r="C109" s="30"/>
      <c r="D109" s="31"/>
      <c r="E109" s="31"/>
      <c r="F109" s="3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25">
      <c r="A110" s="33"/>
      <c r="B110" s="33"/>
      <c r="C110" s="30"/>
      <c r="D110" s="31"/>
      <c r="E110" s="31"/>
      <c r="F110" s="3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25">
      <c r="A111" s="33"/>
      <c r="B111" s="33"/>
      <c r="C111" s="30"/>
      <c r="D111" s="31"/>
      <c r="E111" s="31"/>
      <c r="F111" s="3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25">
      <c r="A112" s="33"/>
      <c r="B112" s="33"/>
      <c r="C112" s="30"/>
      <c r="D112" s="31"/>
      <c r="E112" s="31"/>
      <c r="F112" s="3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25">
      <c r="A113" s="33"/>
      <c r="B113" s="33"/>
      <c r="C113" s="30"/>
      <c r="D113" s="31"/>
      <c r="E113" s="31"/>
      <c r="F113" s="3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25">
      <c r="A114" s="33"/>
      <c r="B114" s="33"/>
      <c r="C114" s="30"/>
      <c r="D114" s="31"/>
      <c r="E114" s="31"/>
      <c r="F114" s="3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25">
      <c r="A115" s="33"/>
      <c r="B115" s="33"/>
      <c r="C115" s="30"/>
      <c r="D115" s="31"/>
      <c r="E115" s="31"/>
      <c r="F115" s="3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25">
      <c r="A116" s="33"/>
      <c r="B116" s="33"/>
      <c r="C116" s="30"/>
      <c r="D116" s="31"/>
      <c r="E116" s="31"/>
      <c r="F116" s="3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25">
      <c r="A117" s="33"/>
      <c r="B117" s="33"/>
      <c r="C117" s="30"/>
      <c r="D117" s="31"/>
      <c r="E117" s="31"/>
      <c r="F117" s="3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25">
      <c r="A118" s="33"/>
      <c r="B118" s="33"/>
      <c r="C118" s="30"/>
      <c r="D118" s="31"/>
      <c r="E118" s="31"/>
      <c r="F118" s="3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25">
      <c r="A119" s="33"/>
      <c r="B119" s="33"/>
      <c r="C119" s="30"/>
      <c r="D119" s="31"/>
      <c r="E119" s="31"/>
      <c r="F119" s="3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25">
      <c r="A120" s="33"/>
      <c r="B120" s="33"/>
      <c r="C120" s="30"/>
      <c r="D120" s="31"/>
      <c r="E120" s="31"/>
      <c r="F120" s="3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25">
      <c r="A121" s="33"/>
      <c r="B121" s="33"/>
      <c r="C121" s="30"/>
      <c r="D121" s="31"/>
      <c r="E121" s="31"/>
      <c r="F121" s="3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25">
      <c r="A122" s="33"/>
      <c r="B122" s="33"/>
      <c r="C122" s="30"/>
      <c r="D122" s="31"/>
      <c r="E122" s="31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25">
      <c r="A123" s="33"/>
      <c r="B123" s="33"/>
      <c r="C123" s="30"/>
      <c r="D123" s="31"/>
      <c r="E123" s="31"/>
      <c r="F123" s="3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25">
      <c r="A124" s="33"/>
      <c r="B124" s="33"/>
      <c r="C124" s="30"/>
      <c r="D124" s="31"/>
      <c r="E124" s="31"/>
      <c r="F124" s="3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25">
      <c r="A125" s="33"/>
      <c r="B125" s="33"/>
      <c r="C125" s="30"/>
      <c r="D125" s="31"/>
      <c r="E125" s="31"/>
      <c r="F125" s="3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25">
      <c r="A126" s="33"/>
      <c r="B126" s="33"/>
      <c r="C126" s="30"/>
      <c r="D126" s="31"/>
      <c r="E126" s="31"/>
      <c r="F126" s="3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25">
      <c r="A127" s="33"/>
      <c r="B127" s="33"/>
      <c r="C127" s="30"/>
      <c r="D127" s="31"/>
      <c r="E127" s="31"/>
      <c r="F127" s="3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25">
      <c r="A128" s="33"/>
      <c r="B128" s="33"/>
      <c r="C128" s="30"/>
      <c r="D128" s="31"/>
      <c r="E128" s="31"/>
      <c r="F128" s="3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25">
      <c r="A129" s="33"/>
      <c r="B129" s="33"/>
      <c r="C129" s="30"/>
      <c r="D129" s="31"/>
      <c r="E129" s="31"/>
      <c r="F129" s="3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25">
      <c r="A130" s="33"/>
      <c r="B130" s="33"/>
      <c r="C130" s="30"/>
      <c r="D130" s="31"/>
      <c r="E130" s="31"/>
      <c r="F130" s="3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25">
      <c r="A131" s="33"/>
      <c r="B131" s="33"/>
      <c r="C131" s="30"/>
      <c r="D131" s="31"/>
      <c r="E131" s="31"/>
      <c r="F131" s="3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25">
      <c r="A132" s="33"/>
      <c r="B132" s="33"/>
      <c r="C132" s="30"/>
      <c r="D132" s="31"/>
      <c r="E132" s="31"/>
      <c r="F132" s="3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25">
      <c r="A133" s="33"/>
      <c r="B133" s="33"/>
      <c r="C133" s="30"/>
      <c r="D133" s="31"/>
      <c r="E133" s="31"/>
      <c r="F133" s="3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25">
      <c r="A134" s="33"/>
      <c r="B134" s="33"/>
      <c r="C134" s="30"/>
      <c r="D134" s="31"/>
      <c r="E134" s="31"/>
      <c r="F134" s="3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25">
      <c r="A135" s="33"/>
      <c r="B135" s="33"/>
      <c r="C135" s="30"/>
      <c r="D135" s="31"/>
      <c r="E135" s="31"/>
      <c r="F135" s="3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25">
      <c r="A136" s="33"/>
      <c r="B136" s="33"/>
      <c r="C136" s="30"/>
      <c r="D136" s="31"/>
      <c r="E136" s="31"/>
      <c r="F136" s="3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25">
      <c r="A137" s="33"/>
      <c r="B137" s="33"/>
      <c r="C137" s="30"/>
      <c r="D137" s="31"/>
      <c r="E137" s="31"/>
      <c r="F137" s="3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25">
      <c r="A138" s="33"/>
      <c r="B138" s="33"/>
      <c r="C138" s="30"/>
      <c r="D138" s="31"/>
      <c r="E138" s="31"/>
      <c r="F138" s="3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25">
      <c r="A139" s="33"/>
      <c r="B139" s="33"/>
      <c r="C139" s="30"/>
      <c r="D139" s="31"/>
      <c r="E139" s="31"/>
      <c r="F139" s="3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25">
      <c r="A140" s="33"/>
      <c r="B140" s="33"/>
      <c r="C140" s="30"/>
      <c r="D140" s="31"/>
      <c r="E140" s="31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25">
      <c r="A141" s="33"/>
      <c r="B141" s="33"/>
      <c r="C141" s="30"/>
      <c r="D141" s="31"/>
      <c r="E141" s="31"/>
      <c r="F141" s="3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25">
      <c r="A142" s="33"/>
      <c r="B142" s="33"/>
      <c r="C142" s="30"/>
      <c r="D142" s="31"/>
      <c r="E142" s="31"/>
      <c r="F142" s="3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25">
      <c r="A143" s="33"/>
      <c r="B143" s="33"/>
      <c r="C143" s="30"/>
      <c r="D143" s="31"/>
      <c r="E143" s="31"/>
      <c r="F143" s="3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25">
      <c r="A144" s="33"/>
      <c r="B144" s="33"/>
      <c r="C144" s="30"/>
      <c r="D144" s="31"/>
      <c r="E144" s="31"/>
      <c r="F144" s="3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25">
      <c r="A145" s="33"/>
      <c r="B145" s="33"/>
      <c r="C145" s="30"/>
      <c r="D145" s="31"/>
      <c r="E145" s="31"/>
      <c r="F145" s="3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25">
      <c r="A146" s="33"/>
      <c r="B146" s="33"/>
      <c r="C146" s="30"/>
      <c r="D146" s="31"/>
      <c r="E146" s="31"/>
      <c r="F146" s="3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25">
      <c r="A147" s="33"/>
      <c r="B147" s="33"/>
      <c r="C147" s="30"/>
      <c r="D147" s="31"/>
      <c r="E147" s="31"/>
      <c r="F147" s="3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25">
      <c r="A148" s="33"/>
      <c r="B148" s="33"/>
      <c r="C148" s="30"/>
      <c r="D148" s="31"/>
      <c r="E148" s="31"/>
      <c r="F148" s="3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25">
      <c r="A149" s="33"/>
      <c r="B149" s="33"/>
      <c r="C149" s="30"/>
      <c r="D149" s="31"/>
      <c r="E149" s="31"/>
      <c r="F149" s="3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25">
      <c r="A150" s="33"/>
      <c r="B150" s="33"/>
      <c r="C150" s="30"/>
      <c r="D150" s="31"/>
      <c r="E150" s="31"/>
      <c r="F150" s="3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25">
      <c r="A151" s="33"/>
      <c r="B151" s="33"/>
      <c r="C151" s="30"/>
      <c r="D151" s="31"/>
      <c r="E151" s="31"/>
      <c r="F151" s="3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25">
      <c r="A152" s="33"/>
      <c r="B152" s="33"/>
      <c r="C152" s="30"/>
      <c r="D152" s="31"/>
      <c r="E152" s="31"/>
      <c r="F152" s="3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25">
      <c r="A153" s="33"/>
      <c r="B153" s="33"/>
      <c r="C153" s="30"/>
      <c r="D153" s="31"/>
      <c r="E153" s="31"/>
      <c r="F153" s="3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25">
      <c r="A154" s="33"/>
      <c r="B154" s="33"/>
      <c r="C154" s="30"/>
      <c r="D154" s="31"/>
      <c r="E154" s="31"/>
      <c r="F154" s="3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25">
      <c r="A155" s="33"/>
      <c r="B155" s="33"/>
      <c r="C155" s="30"/>
      <c r="D155" s="31"/>
      <c r="E155" s="31"/>
      <c r="F155" s="3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25">
      <c r="A156" s="33"/>
      <c r="B156" s="33"/>
      <c r="C156" s="30"/>
      <c r="D156" s="31"/>
      <c r="E156" s="31"/>
      <c r="F156" s="3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25">
      <c r="A157" s="33"/>
      <c r="B157" s="33"/>
      <c r="C157" s="30"/>
      <c r="D157" s="31"/>
      <c r="E157" s="31"/>
      <c r="F157" s="3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25">
      <c r="A158" s="33"/>
      <c r="B158" s="33"/>
      <c r="C158" s="30"/>
      <c r="D158" s="31"/>
      <c r="E158" s="31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25">
      <c r="A159" s="33"/>
      <c r="B159" s="33"/>
      <c r="C159" s="30"/>
      <c r="D159" s="31"/>
      <c r="E159" s="31"/>
      <c r="F159" s="3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25">
      <c r="A160" s="33"/>
      <c r="B160" s="33"/>
      <c r="C160" s="30"/>
      <c r="D160" s="31"/>
      <c r="E160" s="31"/>
      <c r="F160" s="3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25">
      <c r="A161" s="33"/>
      <c r="B161" s="33"/>
      <c r="C161" s="30"/>
      <c r="D161" s="31"/>
      <c r="E161" s="31"/>
      <c r="F161" s="3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25">
      <c r="A162" s="33"/>
      <c r="B162" s="33"/>
      <c r="C162" s="30"/>
      <c r="D162" s="31"/>
      <c r="E162" s="31"/>
      <c r="F162" s="3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25">
      <c r="A163" s="33"/>
      <c r="B163" s="33"/>
      <c r="C163" s="30"/>
      <c r="D163" s="31"/>
      <c r="E163" s="31"/>
      <c r="F163" s="3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25">
      <c r="A164" s="33"/>
      <c r="B164" s="33"/>
      <c r="C164" s="30"/>
      <c r="D164" s="31"/>
      <c r="E164" s="31"/>
      <c r="F164" s="3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25">
      <c r="A165" s="33"/>
      <c r="B165" s="33"/>
      <c r="C165" s="30"/>
      <c r="D165" s="31"/>
      <c r="E165" s="31"/>
      <c r="F165" s="3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25">
      <c r="A166" s="33"/>
      <c r="B166" s="33"/>
      <c r="C166" s="30"/>
      <c r="D166" s="31"/>
      <c r="E166" s="31"/>
      <c r="F166" s="3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25">
      <c r="A167" s="33"/>
      <c r="B167" s="33"/>
      <c r="C167" s="30"/>
      <c r="D167" s="31"/>
      <c r="E167" s="31"/>
      <c r="F167" s="3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25">
      <c r="A168" s="33"/>
      <c r="B168" s="33"/>
      <c r="C168" s="30"/>
      <c r="D168" s="31"/>
      <c r="E168" s="31"/>
      <c r="F168" s="3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25">
      <c r="A169" s="33"/>
      <c r="B169" s="33"/>
      <c r="C169" s="30"/>
      <c r="D169" s="31"/>
      <c r="E169" s="31"/>
      <c r="F169" s="3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25">
      <c r="A170" s="33"/>
      <c r="B170" s="33"/>
      <c r="C170" s="30"/>
      <c r="D170" s="31"/>
      <c r="E170" s="31"/>
      <c r="F170" s="3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25">
      <c r="A171" s="33"/>
      <c r="B171" s="33"/>
      <c r="C171" s="30"/>
      <c r="D171" s="31"/>
      <c r="E171" s="31"/>
      <c r="F171" s="3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25">
      <c r="A172" s="33"/>
      <c r="B172" s="33"/>
      <c r="C172" s="30"/>
      <c r="D172" s="31"/>
      <c r="E172" s="31"/>
      <c r="F172" s="3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25">
      <c r="A173" s="33"/>
      <c r="B173" s="33"/>
      <c r="C173" s="30"/>
      <c r="D173" s="31"/>
      <c r="E173" s="31"/>
      <c r="F173" s="3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25">
      <c r="A174" s="33"/>
      <c r="B174" s="33"/>
      <c r="C174" s="30"/>
      <c r="D174" s="31"/>
      <c r="E174" s="31"/>
      <c r="F174" s="3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25">
      <c r="A175" s="33"/>
      <c r="B175" s="33"/>
      <c r="C175" s="30"/>
      <c r="D175" s="31"/>
      <c r="E175" s="31"/>
      <c r="F175" s="3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25">
      <c r="A176" s="33"/>
      <c r="B176" s="33"/>
      <c r="C176" s="30"/>
      <c r="D176" s="31"/>
      <c r="E176" s="31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25">
      <c r="A177" s="33"/>
      <c r="B177" s="33"/>
      <c r="C177" s="30"/>
      <c r="D177" s="31"/>
      <c r="E177" s="31"/>
      <c r="F177" s="3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25">
      <c r="A178" s="33"/>
      <c r="B178" s="33"/>
      <c r="C178" s="30"/>
      <c r="D178" s="31"/>
      <c r="E178" s="31"/>
      <c r="F178" s="3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25">
      <c r="A179" s="33"/>
      <c r="B179" s="33"/>
      <c r="C179" s="30"/>
      <c r="D179" s="31"/>
      <c r="E179" s="31"/>
      <c r="F179" s="3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25">
      <c r="A180" s="33"/>
      <c r="B180" s="33"/>
      <c r="C180" s="30"/>
      <c r="D180" s="31"/>
      <c r="E180" s="31"/>
      <c r="F180" s="3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25">
      <c r="A181" s="33"/>
      <c r="B181" s="33"/>
      <c r="C181" s="30"/>
      <c r="D181" s="31"/>
      <c r="E181" s="31"/>
      <c r="F181" s="3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25">
      <c r="A182" s="33"/>
      <c r="B182" s="33"/>
      <c r="C182" s="30"/>
      <c r="D182" s="31"/>
      <c r="E182" s="31"/>
      <c r="F182" s="3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25">
      <c r="A183" s="33"/>
      <c r="B183" s="33"/>
      <c r="C183" s="30"/>
      <c r="D183" s="31"/>
      <c r="E183" s="31"/>
      <c r="F183" s="3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25">
      <c r="A184" s="33"/>
      <c r="B184" s="33"/>
      <c r="C184" s="30"/>
      <c r="D184" s="31"/>
      <c r="E184" s="31"/>
      <c r="F184" s="3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25">
      <c r="A185" s="33"/>
      <c r="B185" s="33"/>
      <c r="C185" s="30"/>
      <c r="D185" s="31"/>
      <c r="E185" s="31"/>
      <c r="F185" s="3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25">
      <c r="A186" s="33"/>
      <c r="B186" s="33"/>
      <c r="C186" s="30"/>
      <c r="D186" s="31"/>
      <c r="E186" s="31"/>
      <c r="F186" s="3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25">
      <c r="A187" s="33"/>
      <c r="B187" s="33"/>
      <c r="C187" s="30"/>
      <c r="D187" s="31"/>
      <c r="E187" s="31"/>
      <c r="F187" s="3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25">
      <c r="A188" s="33"/>
      <c r="B188" s="33"/>
      <c r="C188" s="30"/>
      <c r="D188" s="31"/>
      <c r="E188" s="31"/>
      <c r="F188" s="3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25">
      <c r="A189" s="33"/>
      <c r="B189" s="33"/>
      <c r="C189" s="30"/>
      <c r="D189" s="31"/>
      <c r="E189" s="31"/>
      <c r="F189" s="32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25">
      <c r="A190" s="33"/>
      <c r="B190" s="33"/>
      <c r="C190" s="30"/>
      <c r="D190" s="31"/>
      <c r="E190" s="31"/>
      <c r="F190" s="32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25">
      <c r="A191" s="33"/>
      <c r="B191" s="33"/>
      <c r="C191" s="30"/>
      <c r="D191" s="31"/>
      <c r="E191" s="31"/>
      <c r="F191" s="32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25">
      <c r="A192" s="33"/>
      <c r="B192" s="33"/>
      <c r="C192" s="30"/>
      <c r="D192" s="31"/>
      <c r="E192" s="31"/>
      <c r="F192" s="32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25">
      <c r="A193" s="33"/>
      <c r="B193" s="33"/>
      <c r="C193" s="30"/>
      <c r="D193" s="31"/>
      <c r="E193" s="31"/>
      <c r="F193" s="32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25">
      <c r="A194" s="33"/>
      <c r="B194" s="33"/>
      <c r="C194" s="30"/>
      <c r="D194" s="31"/>
      <c r="E194" s="31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25">
      <c r="A195" s="33"/>
      <c r="B195" s="33"/>
      <c r="C195" s="30"/>
      <c r="D195" s="31"/>
      <c r="E195" s="31"/>
      <c r="F195" s="32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25">
      <c r="D196" s="34"/>
      <c r="E196" s="34"/>
      <c r="F196" s="35"/>
    </row>
    <row r="197" spans="1:26" ht="15.75" customHeight="1" x14ac:dyDescent="0.25"/>
    <row r="198" spans="1:26" ht="15.75" customHeight="1" x14ac:dyDescent="0.25"/>
    <row r="199" spans="1:26" ht="15.75" customHeight="1" x14ac:dyDescent="0.25"/>
    <row r="200" spans="1:26" ht="15.75" customHeight="1" x14ac:dyDescent="0.25"/>
    <row r="201" spans="1:26" ht="15.75" customHeight="1" x14ac:dyDescent="0.25"/>
    <row r="202" spans="1:26" ht="15.75" customHeight="1" x14ac:dyDescent="0.25"/>
    <row r="203" spans="1:26" ht="15.75" customHeight="1" x14ac:dyDescent="0.25"/>
    <row r="204" spans="1:26" ht="15.75" customHeight="1" x14ac:dyDescent="0.25"/>
    <row r="205" spans="1:26" ht="15.75" customHeight="1" x14ac:dyDescent="0.25"/>
    <row r="206" spans="1:26" ht="15.75" customHeight="1" x14ac:dyDescent="0.25"/>
    <row r="207" spans="1:26" ht="15.75" customHeight="1" x14ac:dyDescent="0.25"/>
    <row r="208" spans="1:26" ht="15.75" customHeight="1" x14ac:dyDescent="0.25"/>
    <row r="209" spans="1:1" ht="15.75" customHeight="1" x14ac:dyDescent="0.25">
      <c r="A209" s="36"/>
    </row>
    <row r="210" spans="1:1" ht="15.75" customHeight="1" x14ac:dyDescent="0.25"/>
    <row r="211" spans="1:1" ht="15.75" customHeight="1" x14ac:dyDescent="0.25"/>
    <row r="212" spans="1:1" ht="15.75" customHeight="1" x14ac:dyDescent="0.25"/>
    <row r="213" spans="1:1" ht="15.75" customHeight="1" x14ac:dyDescent="0.25"/>
    <row r="214" spans="1:1" ht="15.75" customHeight="1" x14ac:dyDescent="0.25"/>
    <row r="215" spans="1:1" ht="15.75" customHeight="1" x14ac:dyDescent="0.25"/>
    <row r="216" spans="1:1" ht="15.75" customHeight="1" x14ac:dyDescent="0.25"/>
    <row r="217" spans="1:1" ht="15.75" customHeight="1" x14ac:dyDescent="0.25"/>
    <row r="218" spans="1:1" ht="15.75" customHeight="1" x14ac:dyDescent="0.25"/>
    <row r="219" spans="1:1" ht="15.75" customHeight="1" x14ac:dyDescent="0.25"/>
    <row r="220" spans="1:1" ht="15.75" customHeight="1" x14ac:dyDescent="0.25"/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1:1" ht="15.75" customHeight="1" x14ac:dyDescent="0.25"/>
    <row r="242" spans="1:1" ht="15.75" customHeight="1" x14ac:dyDescent="0.25"/>
    <row r="243" spans="1:1" ht="15.75" customHeight="1" x14ac:dyDescent="0.25"/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/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>
      <c r="A254" s="36"/>
    </row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spans="1:1" ht="15.75" customHeight="1" x14ac:dyDescent="0.25"/>
    <row r="290" spans="1:1" ht="15.75" customHeight="1" x14ac:dyDescent="0.25"/>
    <row r="291" spans="1:1" ht="15.75" customHeight="1" x14ac:dyDescent="0.25"/>
    <row r="292" spans="1:1" ht="15.75" customHeight="1" x14ac:dyDescent="0.25"/>
    <row r="293" spans="1:1" ht="15.75" customHeight="1" x14ac:dyDescent="0.25"/>
    <row r="294" spans="1:1" ht="15.75" customHeight="1" x14ac:dyDescent="0.25"/>
    <row r="295" spans="1:1" ht="15.75" customHeight="1" x14ac:dyDescent="0.25"/>
    <row r="296" spans="1:1" ht="15.75" customHeight="1" x14ac:dyDescent="0.25"/>
    <row r="297" spans="1:1" ht="15.75" customHeight="1" x14ac:dyDescent="0.25"/>
    <row r="298" spans="1:1" ht="15.75" customHeight="1" x14ac:dyDescent="0.25">
      <c r="A298" s="36"/>
    </row>
    <row r="299" spans="1:1" ht="15.75" customHeight="1" x14ac:dyDescent="0.25"/>
    <row r="300" spans="1:1" ht="15.75" customHeight="1" x14ac:dyDescent="0.25"/>
    <row r="301" spans="1:1" ht="15.75" customHeight="1" x14ac:dyDescent="0.25"/>
    <row r="302" spans="1:1" ht="15.75" customHeight="1" x14ac:dyDescent="0.25"/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spans="1:1" ht="15.75" customHeight="1" x14ac:dyDescent="0.25"/>
    <row r="322" spans="1:1" ht="15.75" customHeight="1" x14ac:dyDescent="0.25"/>
    <row r="323" spans="1:1" ht="15.75" customHeight="1" x14ac:dyDescent="0.25"/>
    <row r="324" spans="1:1" ht="15.75" customHeight="1" x14ac:dyDescent="0.25"/>
    <row r="325" spans="1:1" ht="15.75" customHeight="1" x14ac:dyDescent="0.25"/>
    <row r="326" spans="1:1" ht="15.75" customHeight="1" x14ac:dyDescent="0.25"/>
    <row r="327" spans="1:1" ht="15.75" customHeight="1" x14ac:dyDescent="0.25"/>
    <row r="328" spans="1:1" ht="15.75" customHeight="1" x14ac:dyDescent="0.25"/>
    <row r="329" spans="1:1" ht="15.75" customHeight="1" x14ac:dyDescent="0.25"/>
    <row r="330" spans="1:1" ht="15.75" customHeight="1" x14ac:dyDescent="0.25"/>
    <row r="331" spans="1:1" ht="15.75" customHeight="1" x14ac:dyDescent="0.25"/>
    <row r="332" spans="1:1" ht="15.75" customHeight="1" x14ac:dyDescent="0.25"/>
    <row r="333" spans="1:1" ht="15.75" customHeight="1" x14ac:dyDescent="0.25"/>
    <row r="334" spans="1:1" ht="15.75" customHeight="1" x14ac:dyDescent="0.25"/>
    <row r="335" spans="1:1" ht="15.75" customHeight="1" x14ac:dyDescent="0.25"/>
    <row r="336" spans="1:1" ht="15.75" customHeight="1" x14ac:dyDescent="0.25">
      <c r="A336" s="36"/>
    </row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spans="1:1" ht="15.75" customHeight="1" x14ac:dyDescent="0.25"/>
    <row r="370" spans="1:1" ht="15.75" customHeight="1" x14ac:dyDescent="0.25">
      <c r="A370" s="36"/>
    </row>
    <row r="371" spans="1:1" ht="15.75" customHeight="1" x14ac:dyDescent="0.25"/>
    <row r="372" spans="1:1" ht="15.75" customHeight="1" x14ac:dyDescent="0.25"/>
    <row r="373" spans="1:1" ht="15.75" customHeight="1" x14ac:dyDescent="0.25"/>
    <row r="374" spans="1:1" ht="15.75" customHeight="1" x14ac:dyDescent="0.25"/>
    <row r="375" spans="1:1" ht="15.75" customHeight="1" x14ac:dyDescent="0.25"/>
    <row r="376" spans="1:1" ht="15.75" customHeight="1" x14ac:dyDescent="0.25"/>
    <row r="377" spans="1:1" ht="15.75" customHeight="1" x14ac:dyDescent="0.25"/>
    <row r="378" spans="1:1" ht="15.75" customHeight="1" x14ac:dyDescent="0.25"/>
    <row r="379" spans="1:1" ht="15.75" customHeight="1" x14ac:dyDescent="0.25"/>
    <row r="380" spans="1:1" ht="15.75" customHeight="1" x14ac:dyDescent="0.25"/>
    <row r="381" spans="1:1" ht="15.75" customHeight="1" x14ac:dyDescent="0.25"/>
    <row r="382" spans="1:1" ht="15.75" customHeight="1" x14ac:dyDescent="0.25"/>
    <row r="383" spans="1:1" ht="15.75" customHeight="1" x14ac:dyDescent="0.25"/>
    <row r="384" spans="1:1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Test Plan&amp;report</vt:lpstr>
      <vt:lpstr>Revisions</vt:lpstr>
      <vt:lpstr>Tra cứu quỹ đất</vt:lpstr>
      <vt:lpstr>WFDesign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2026-05-08T16:57:25Z</dcterms:created>
  <dcterms:modified xsi:type="dcterms:W3CDTF">2026-05-12T10:05:39Z</dcterms:modified>
</cp:coreProperties>
</file>