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bfs\mbfs-bqa\docs\QC-MOBILE\testcases\UC42-44\"/>
    </mc:Choice>
  </mc:AlternateContent>
  <xr:revisionPtr revIDLastSave="0" documentId="13_ncr:1_{BF984953-1688-4E98-8FCD-7DFEC9165B8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Overview" sheetId="1" r:id="rId1"/>
    <sheet name="Test Plan&amp;report" sheetId="2" r:id="rId2"/>
    <sheet name="Revisions" sheetId="3" r:id="rId3"/>
    <sheet name="Quan ly dat lich" sheetId="4" r:id="rId4"/>
    <sheet name="Master Plan" sheetId="5" state="hidden" r:id="rId5"/>
    <sheet name="WFDesig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4" l="1"/>
  <c r="J5" i="4"/>
  <c r="M4" i="4"/>
  <c r="J4" i="4"/>
  <c r="M3" i="4"/>
  <c r="J3" i="4"/>
  <c r="M2" i="4"/>
  <c r="J2" i="4"/>
  <c r="Q1" i="4"/>
  <c r="M1" i="4"/>
  <c r="J1" i="4"/>
  <c r="O1" i="4" s="1"/>
  <c r="P24" i="2"/>
  <c r="B24" i="2"/>
  <c r="P23" i="2"/>
  <c r="B23" i="2"/>
  <c r="P22" i="2"/>
  <c r="B22" i="2"/>
  <c r="P21" i="2"/>
  <c r="B21" i="2"/>
  <c r="P20" i="2"/>
  <c r="B20" i="2"/>
  <c r="H13" i="2"/>
  <c r="J7" i="2"/>
  <c r="I7" i="2"/>
  <c r="H7" i="2"/>
  <c r="G7" i="2"/>
  <c r="F7" i="2"/>
  <c r="D7" i="2" s="1"/>
  <c r="E7" i="2"/>
  <c r="J6" i="2"/>
  <c r="I6" i="2"/>
  <c r="H6" i="2"/>
  <c r="D6" i="2" s="1"/>
  <c r="G6" i="2"/>
  <c r="F6" i="2"/>
  <c r="E6" i="2"/>
  <c r="J5" i="2"/>
  <c r="I5" i="2"/>
  <c r="H5" i="2"/>
  <c r="G5" i="2"/>
  <c r="F5" i="2"/>
  <c r="E5" i="2"/>
  <c r="D5" i="2"/>
  <c r="C5" i="2"/>
  <c r="J4" i="2"/>
  <c r="I4" i="2"/>
  <c r="H4" i="2"/>
  <c r="G4" i="2"/>
  <c r="F4" i="2"/>
  <c r="E4" i="2"/>
  <c r="D4" i="2"/>
  <c r="C4" i="2"/>
  <c r="J3" i="2"/>
  <c r="J13" i="2" s="1"/>
  <c r="I3" i="2"/>
  <c r="I13" i="2" s="1"/>
  <c r="H3" i="2"/>
  <c r="G3" i="2"/>
  <c r="G13" i="2" s="1"/>
  <c r="F3" i="2"/>
  <c r="F13" i="2" s="1"/>
  <c r="E3" i="2"/>
  <c r="E13" i="2" s="1"/>
  <c r="D13" i="2" l="1"/>
  <c r="C13" i="2"/>
  <c r="C6" i="2"/>
  <c r="C3" i="2"/>
  <c r="D3" i="2"/>
  <c r="C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tc={4e086ca1-176f-432a-a8b4-e76b502a14ac}</author>
    <author>tc={48f8bad9-5736-4247-93b9-0f5664f9f306}</author>
  </authors>
  <commentList>
    <comment ref="E32" authorId="0" shapeId="0" xr:uid="{00000000-0006-0000-0300-00000400000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@anh.nguyen14@sotatek.com update tương tự cmt bên trên nha bác ui
</t>
        </r>
      </text>
    </comment>
    <comment ref="B34" authorId="1" shapeId="0" xr:uid="{00000000-0006-0000-0300-00000500000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@anh.nguyen14@sotatek.com bác gom nhóm tiếp nhe
Reply:
	Done ạ, mục mark đỏ bên dưới
</t>
        </r>
      </text>
    </comment>
  </commentList>
</comments>
</file>

<file path=xl/sharedStrings.xml><?xml version="1.0" encoding="utf-8"?>
<sst xmlns="http://schemas.openxmlformats.org/spreadsheetml/2006/main" count="1398" uniqueCount="870">
  <si>
    <t>Testcase</t>
  </si>
  <si>
    <t>MBFS - Ứng dụng di động</t>
  </si>
  <si>
    <t>Project Name:</t>
  </si>
  <si>
    <t>Reviewer:</t>
  </si>
  <si>
    <t>Tien.nguyen2</t>
  </si>
  <si>
    <t>Document Code:</t>
  </si>
  <si>
    <t>Role:</t>
  </si>
  <si>
    <t>QC Leader</t>
  </si>
  <si>
    <t>Platform</t>
  </si>
  <si>
    <t>Reviewed Date:</t>
  </si>
  <si>
    <t>Created By:</t>
  </si>
  <si>
    <t>Anh.nguyen14</t>
  </si>
  <si>
    <t>Approver:</t>
  </si>
  <si>
    <t>Chung.vu</t>
  </si>
  <si>
    <t>QC</t>
  </si>
  <si>
    <t>PM</t>
  </si>
  <si>
    <t>Created Date:</t>
  </si>
  <si>
    <t>Approved Date:</t>
  </si>
  <si>
    <t>Version</t>
  </si>
  <si>
    <t/>
  </si>
  <si>
    <t>TEST REPORT</t>
  </si>
  <si>
    <t>Function ID</t>
  </si>
  <si>
    <t>Test coverage</t>
  </si>
  <si>
    <t>Test success coverage</t>
  </si>
  <si>
    <t>Total TCs</t>
  </si>
  <si>
    <t>Pass</t>
  </si>
  <si>
    <t>Fail</t>
  </si>
  <si>
    <t>Pending</t>
  </si>
  <si>
    <t>N/A</t>
  </si>
  <si>
    <t>Untested</t>
  </si>
  <si>
    <t>FUNC01</t>
  </si>
  <si>
    <t>FUNC02</t>
  </si>
  <si>
    <t>FUNC03</t>
  </si>
  <si>
    <t>FUNC04</t>
  </si>
  <si>
    <t>FUNC05</t>
  </si>
  <si>
    <t>Total</t>
  </si>
  <si>
    <t>TEST PLAN</t>
  </si>
  <si>
    <t>No</t>
  </si>
  <si>
    <t>Function Name</t>
  </si>
  <si>
    <t>Screen list</t>
  </si>
  <si>
    <t>Est viewpoint</t>
  </si>
  <si>
    <t>Create Test Cases</t>
  </si>
  <si>
    <t>Execute Test Cases</t>
  </si>
  <si>
    <t>Est Time (h)</t>
  </si>
  <si>
    <t>Act Time (h)</t>
  </si>
  <si>
    <t>PIC</t>
  </si>
  <si>
    <t>Status</t>
  </si>
  <si>
    <t>Round 1
Est Time(h)</t>
  </si>
  <si>
    <t>Round 1
Act Time (h)</t>
  </si>
  <si>
    <t>Round 2
Est Time(h)</t>
  </si>
  <si>
    <t>Round 2
Act Time (h)</t>
  </si>
  <si>
    <t>Total Time (h)</t>
  </si>
  <si>
    <t>Quản lý tài khoản nhà đầu tư</t>
  </si>
  <si>
    <t>Review</t>
  </si>
  <si>
    <t>Tài khoản doanh nghiệp</t>
  </si>
  <si>
    <t>Đăng Ký</t>
  </si>
  <si>
    <t>Quên mật khẩu</t>
  </si>
  <si>
    <t>Cấu hình tài khoản</t>
  </si>
  <si>
    <t>HISTORY</t>
  </si>
  <si>
    <t>History</t>
  </si>
  <si>
    <t>Date</t>
  </si>
  <si>
    <t>Content</t>
  </si>
  <si>
    <t>Author</t>
  </si>
  <si>
    <t>Thêm mới</t>
  </si>
  <si>
    <t>System Name</t>
  </si>
  <si>
    <t>Cổng Một Cửa Đầu Tư Quốc Gia - Ứng dụng di động</t>
  </si>
  <si>
    <t>MBFS_UC-42-44_QuanLyDatLich_Testcase_v1.0</t>
  </si>
  <si>
    <t>Browser</t>
  </si>
  <si>
    <t>iOS</t>
  </si>
  <si>
    <t>Android</t>
  </si>
  <si>
    <t>Number of Test cases</t>
  </si>
  <si>
    <t>Number of Bugs</t>
  </si>
  <si>
    <t>Module</t>
  </si>
  <si>
    <t>Quản lý đặt lịch nộp hồ sơ (Mobile)</t>
  </si>
  <si>
    <t>Created By</t>
  </si>
  <si>
    <t>QC Agent</t>
  </si>
  <si>
    <t>2026-05-08</t>
  </si>
  <si>
    <t>Execute By</t>
  </si>
  <si>
    <t>ID_TC</t>
  </si>
  <si>
    <t>Test Title/Summary of test cases</t>
  </si>
  <si>
    <t>Pre-Condition</t>
  </si>
  <si>
    <t>Step</t>
  </si>
  <si>
    <t>Expected Result</t>
  </si>
  <si>
    <t>Data/Note</t>
  </si>
  <si>
    <t>Round 1 - iOS</t>
  </si>
  <si>
    <t>Round 1 - Android</t>
  </si>
  <si>
    <t>Round 2 - iOS</t>
  </si>
  <si>
    <t>Round 2 - Android</t>
  </si>
  <si>
    <t xml:space="preserve">Test Result </t>
  </si>
  <si>
    <t>Execute Date</t>
  </si>
  <si>
    <t xml:space="preserve">ID Bug </t>
  </si>
  <si>
    <t>1. Màn hình Danh sách Đặt lịch nộp hồ sơ</t>
  </si>
  <si>
    <t>Check UI/UX</t>
  </si>
  <si>
    <t>TC_001</t>
  </si>
  <si>
    <t>[Màn hình Danh sách lịch hẹn] Kiểm tra UI/UX khi có dữ liệu</t>
  </si>
  <si>
    <t>Đăng nhập thành công tài khoản Cá nhân/Tổ chức có ≥1 lịch hẹn.</t>
  </si>
  <si>
    <t>1. Vào Trang chủ → nhấp Quick Access "Quản lý đặt lịch".
2. Kiểm tra hiển thị Màn hình [Danh sách lịch hẹn].</t>
  </si>
  <si>
    <t>2.
- Hiển thị đầy đủ các item, màu sắc, font chữ, layout giống Design
(Tham khảo ảnh "UC 42-44_ Tab List" sheet WFDesign)
- Header đỏ: nút Back (←) trái, tiêu đề "Quản lý đặt lịch nộp hồ sơ" trắng căn giữa.
- Khung Tìm kiếm + icon [Filter] bên phải.
- Tab bar 6 tab theo thứ tự: "Tất cả" (active đỏ + underline), "Chờ xác nhận", "Đã xác nhận", "Đã hủy", "Đã bỏ lượt", "Đã hoàn thành".
- Danh sách Card lịch hẹn.
- Bottom Navigation.</t>
  </si>
  <si>
    <t>TC_002</t>
  </si>
  <si>
    <t>[Màn hình Danh sách lịch hẹn] Kiểm tra UI/UX khi rỗng (tài khoản chưa có lịch hẹn nào)</t>
  </si>
  <si>
    <t>Đăng nhập tài khoản chưa có lịch hẹn nào.</t>
  </si>
  <si>
    <t>1. Mở Màn hình [Danh sách lịch hẹn].
2. Kiểm tra hiển thị vùng danh sách tại Tab "Tất cả".</t>
  </si>
  <si>
    <t>2.
- Header, Search box, Filter icon, Tab bar: hiển thị bình thường.
- Vùng danh sách: Empty state — icon + text "Không có dữ liệu." (CMR-14) căn giữa.</t>
  </si>
  <si>
    <t>TC_003</t>
  </si>
  <si>
    <t>[Màn hình Danh sách lịch hẹn] Kiểm tra Loading state toàn màn hình khi first-load</t>
  </si>
  <si>
    <t>Đăng nhập thành công, đang chờ API trả danh sách (first-load).</t>
  </si>
  <si>
    <t>1. Tap Quick Access "Quản lý đặt lịch".
2. Kiểm tra hiển thị màn hình trong khi chờ API.</t>
  </si>
  <si>
    <t>2.
- Full-screen loading overlay hiển thị trên toàn vùng nội dung (CMR-07, AC17).
- Sau khi API trả → ẩn overlay, hiển thị danh sách + tab + search.</t>
  </si>
  <si>
    <t>TC_004</t>
  </si>
  <si>
    <t>[Ô Search] Kiểm tra hiển thị mặc định (icon + placeholder)</t>
  </si>
  <si>
    <t>Đang ở Màn hình [Danh sách lịch hẹn].</t>
  </si>
  <si>
    <t>1. Kiểm tra hiển thị ô [Search].</t>
  </si>
  <si>
    <t>1.
- Icon kính lúp bên trái trong ô.
- Placeholder "Tìm kiếm thủ tục...".
- Ô rỗng mặc định.</t>
  </si>
  <si>
    <t>TC_005</t>
  </si>
  <si>
    <t>[Icon Filter] Kiểm tra hiển thị mặc định (không có indicator)</t>
  </si>
  <si>
    <t>Đang ở Màn hình [Danh sách lịch hẹn], chưa áp dụng filter.</t>
  </si>
  <si>
    <t>1. Kiểm tra hiển thị icon [Filter] bên phải ô Search.</t>
  </si>
  <si>
    <t>1.
- Icon filter viền bo tròn.
- Không có chấm indicator màu xanh lá ở góc phải trên.</t>
  </si>
  <si>
    <t>TC_006</t>
  </si>
  <si>
    <t>[Icon Filter] Kiểm tra hiển thị khi có filter đang active</t>
  </si>
  <si>
    <t>Đã áp dụng filter (Lĩnh vực hoặc Dịch vụ công ≠ "Tất cả").</t>
  </si>
  <si>
    <t>1. Kiểm tra hiển thị icon [Filter].</t>
  </si>
  <si>
    <t>1. Hiển thị chấm indicator màu xanh lá cây ở góc phải bên trên của icon filter (CMR-02, AC8).</t>
  </si>
  <si>
    <t>TC_007</t>
  </si>
  <si>
    <t>[Tab bar] Kiểm tra hiển thị đủ 6 tab đúng thứ tự</t>
  </si>
  <si>
    <t>1. Kiểm tra hiển thị Tab bar.</t>
  </si>
  <si>
    <t>1. Hiển thị đúng 6 tab theo thứ tự từ trái sang phải: "Tất cả" → "Chờ xác nhận" → "Đã xác nhận" → "Đã hủy" → "Đã bỏ lượt" → "Đã hoàn thành" (AC1).</t>
  </si>
  <si>
    <t>TC_008</t>
  </si>
  <si>
    <t>[Tab bar] Kiểm tra tab mặc định "Tất cả" active khi mở màn hình</t>
  </si>
  <si>
    <t>Lần đầu mở Màn hình [Danh sách lịch hẹn].</t>
  </si>
  <si>
    <t>1. Kiểm tra trạng thái tab khi màn hình vừa load xong.</t>
  </si>
  <si>
    <t>1. Tab "Tất cả" ở trạng thái active (text đỏ + underline đỏ); 5 tab còn lại inactive.</t>
  </si>
  <si>
    <t>TC_009</t>
  </si>
  <si>
    <t>[Card] Kiểm tra hiển thị đầy đủ 5 field + icon điều hướng</t>
  </si>
  <si>
    <t>Danh sách có ≥1 card có đủ dữ liệu.</t>
  </si>
  <si>
    <t>1. Kiểm tra hiển thị 1 card lịch hẹn.</t>
  </si>
  <si>
    <t>1. Card hiển thị đầy đủ:
- Tên thủ tục (bold, tối đa 2 dòng).
- Badge trạng thái.
- Icon Tòa nhà (xám) + "Lĩnh vực: " + Tên lĩnh vực (1 dòng).
- Icon Người (xám) + "Thời gian đặt: " + DD/MM/YYYY HH:mm.
- Icon Lịch (xám) + "Ngày cán bộ hẹn nộp: " + DD/MM/YYYY.
- Icon mũi tên "&gt;" xám góc phải.</t>
  </si>
  <si>
    <t>TC_010</t>
  </si>
  <si>
    <t>[Card] Kiểm tra Tên thủ tục dài → truncate 2 dòng + "..."</t>
  </si>
  <si>
    <t>Có lịch hẹn với Tên thủ tục &gt; 2 dòng.</t>
  </si>
  <si>
    <t>1. Kiểm tra hiển thị trường Tên thủ tục trên card.</t>
  </si>
  <si>
    <t>1. Tên thủ tục hiển thị tối đa 2 dòng; phần vượt quá bị cắt và hiển thị "..." ở cuối dòng 2.</t>
  </si>
  <si>
    <t>BVA</t>
  </si>
  <si>
    <t>TC_011</t>
  </si>
  <si>
    <t>[Card] Kiểm tra Lĩnh vực dài → truncate 1 dòng + "..."</t>
  </si>
  <si>
    <t>Có lịch hẹn với Lĩnh vực &gt; 1 dòng.</t>
  </si>
  <si>
    <t>1. Kiểm tra hiển thị trường Lĩnh vực trên card.</t>
  </si>
  <si>
    <t>1. Lĩnh vực hiển thị tối đa 1 dòng; phần vượt quá bị cắt và hiển thị "..." ở cuối.</t>
  </si>
  <si>
    <t>TC_012</t>
  </si>
  <si>
    <t>[Card] Kiểm tra field null → hiển thị "-"</t>
  </si>
  <si>
    <t>Có lịch hẹn với Lĩnh vực = null và Ngày cán bộ hẹn nộp = null.</t>
  </si>
  <si>
    <t>1. Kiểm tra hiển thị các field null trên card.</t>
  </si>
  <si>
    <t>1.
- Card hiển thị "Lĩnh vực: -".
- Card hiển thị "Ngày cán bộ hẹn nộp: -".
(AC3 — Null handling)</t>
  </si>
  <si>
    <t>TC_013</t>
  </si>
  <si>
    <t>[Card] Kiểm tra format "Thời gian đặt" DD/MM/YYYY HH:mm (24h, GMT+7)</t>
  </si>
  <si>
    <t>Có lịch hẹn với "Thời gian đặt" = 08/05/2026 14:30 (GMT+7).</t>
  </si>
  <si>
    <t>1. Kiểm tra hiển thị field "Thời gian đặt" trên card.</t>
  </si>
  <si>
    <t>1. Hiển thị chính xác "Thời gian đặt: 08/05/2026 14:30" (CMR-12).</t>
  </si>
  <si>
    <t>TC_014</t>
  </si>
  <si>
    <t>[Card] Kiểm tra format "Ngày cán bộ hẹn nộp" DD/MM/YYYY (không có giờ)</t>
  </si>
  <si>
    <t>Có lịch hẹn với Ngày cán bộ hẹn nộp = 10/05/2026.</t>
  </si>
  <si>
    <t>1. Kiểm tra hiển thị field "Ngày cán bộ hẹn nộp" trên card.</t>
  </si>
  <si>
    <t>1. Hiển thị "Ngày cán bộ hẹn nộp: 10/05/2026" — không kèm giờ (CMR-12).</t>
  </si>
  <si>
    <t>TC_015</t>
  </si>
  <si>
    <t>[Card] Kiểm tra Badge trạng thái hiển thị đúng màu follow UI design</t>
  </si>
  <si>
    <t>Danh sách có card với các trạng thái khác nhau.</t>
  </si>
  <si>
    <t>1. Kiểm tra hiển thị Badge cho từng trạng thái: "Chờ xác nhận", "Đã xác nhận", "Đã hủy", "Đã bỏ lượt", "Đã hoàn thành".</t>
  </si>
  <si>
    <t>1. Badge hiển thị đúng màu sắc follow theo UI design cho từng trạng thái (AC6, CMR-05).</t>
  </si>
  <si>
    <t>Follow UI design</t>
  </si>
  <si>
    <t>TC_016</t>
  </si>
  <si>
    <t>[Bottom Sheet Filter] Kiểm tra UI/UX khi mở Filter</t>
  </si>
  <si>
    <t>1. Nhấp icon [Filter].
2. Kiểm tra hiển thị Bottom Sheet.</t>
  </si>
  <si>
    <t>2.
- Bottom Sheet trượt lên từ dưới.
- Hiển thị đầy đủ: Dropdown "Lĩnh vực" (default "Tất cả lĩnh vực"), Dropdown "Dịch vụ công" (default "Tất cả dịch vụ công"), nút [X] góc phải trên, nút [Nhập lại] outline đỏ, nút [Áp dụng] filled đỏ.
(Tham khảo ảnh "UC42-filter" sheet WFDesign).</t>
  </si>
  <si>
    <t>Check Function</t>
  </si>
  <si>
    <t>TC_017</t>
  </si>
  <si>
    <t>[Entry point Quick Access] Kiểm tra truy cập từ Quick Access "Quản lý đặt lịch" trên Trang chủ</t>
  </si>
  <si>
    <t>Đăng nhập thành công, đang ở Trang chủ.</t>
  </si>
  <si>
    <t>1. Nhấp Quick Access "Quản lý đặt lịch" trên Trang chủ.</t>
  </si>
  <si>
    <t>1. Mở Màn hình [Danh sách lịch hẹn] với Tab "Tất cả" active mặc định.</t>
  </si>
  <si>
    <t>TC_018</t>
  </si>
  <si>
    <t>[Entry point Sidebar] Kiểm tra truy cập từ Sidebar "Quản lý đặt lịch"</t>
  </si>
  <si>
    <t>Đăng nhập thành công, Sidebar đang mở.</t>
  </si>
  <si>
    <t>1. Nhấp item "Quản lý đặt lịch" trên Sidebar.</t>
  </si>
  <si>
    <t>1. Đóng Sidebar.
2. Mở Màn hình [Danh sách lịch hẹn] giống hệt entry từ Quick Access (tab "Tất cả" active).</t>
  </si>
  <si>
    <t>TC_019</t>
  </si>
  <si>
    <t>[Nút Back ←] Kiểm tra tap Back trên Header → quay về màn trước</t>
  </si>
  <si>
    <t>Đang ở Màn hình [Danh sách lịch hẹn] (đi từ Trang chủ).</t>
  </si>
  <si>
    <t>1. Tap nút [Back ←] trên Header.</t>
  </si>
  <si>
    <t>1. Đóng màn [Danh sách lịch hẹn], quay về Trang chủ (CMR-06).</t>
  </si>
  <si>
    <t>TC_020</t>
  </si>
  <si>
    <t>[Role Cá nhân] Kiểm tra tài khoản Cá nhân chỉ thấy lịch hẹn của bản thân</t>
  </si>
  <si>
    <t>Đăng nhập tài khoản Cá nhân.</t>
  </si>
  <si>
    <t>1. Mở Màn hình [Danh sách lịch hẹn].
2. Kiểm tra danh sách lịch hẹn.</t>
  </si>
  <si>
    <t>2. Danh sách chỉ chứa lịch hẹn của tài khoản Cá nhân này; không thấy lịch hẹn của tài khoản/tổ chức khác.</t>
  </si>
  <si>
    <t>Role-based</t>
  </si>
  <si>
    <t>TC_021</t>
  </si>
  <si>
    <t>[Role Tổ chức] Kiểm tra tài khoản Tổ chức chỉ thấy lịch hẹn của tổ chức</t>
  </si>
  <si>
    <t>Đăng nhập tài khoản Tổ chức.</t>
  </si>
  <si>
    <t>2. Danh sách chỉ chứa lịch hẹn của tổ chức này; không thấy lịch hẹn của tổ chức/cá nhân khác.</t>
  </si>
  <si>
    <t>TC_022</t>
  </si>
  <si>
    <t>[Guest] Kiểm tra chưa đăng nhập truy cập UC42-44 → redirect đăng nhập</t>
  </si>
  <si>
    <t>Chưa đăng nhập (hoặc đã logout).</t>
  </si>
  <si>
    <t>1. Cố gắng truy cập Màn hình [Danh sách lịch hẹn] (qua deep-link nếu có, hoặc app ẩn Quick Access/Sidebar item).</t>
  </si>
  <si>
    <t>1. App ẩn entry point hoặc redirect về màn [Đăng nhập]; không cho xem danh sách.</t>
  </si>
  <si>
    <t>Permission</t>
  </si>
  <si>
    <t>TC_023</t>
  </si>
  <si>
    <t>[Tab "Chờ xác nhận"] Kiểm tra lọc danh sách theo trạng thái</t>
  </si>
  <si>
    <t>Đang ở Tab "Tất cả", có ≥1 lịch hẹn trạng thái "Chờ xác nhận".</t>
  </si>
  <si>
    <t>1. Tap Tab "Chờ xác nhận".</t>
  </si>
  <si>
    <t>1.
- Tab "Tất cả" unselect (bỏ underline đỏ).
- Tab "Chờ xác nhận" active (text đỏ + underline đỏ).
- Danh sách chỉ hiển thị lịch hẹn trạng thái "Chờ xác nhận".</t>
  </si>
  <si>
    <t>EP</t>
  </si>
  <si>
    <t>TC_024</t>
  </si>
  <si>
    <t>[Tab "Đã xác nhận"] Kiểm tra lọc danh sách theo trạng thái</t>
  </si>
  <si>
    <t>Đang ở Tab "Tất cả", có ≥1 lịch hẹn trạng thái "Đã xác nhận".</t>
  </si>
  <si>
    <t>1. Tap Tab "Đã xác nhận".</t>
  </si>
  <si>
    <t>1. Chỉ hiển thị lịch hẹn trạng thái "Đã xác nhận"; tab này active, các tab khác inactive.</t>
  </si>
  <si>
    <t>TC_025</t>
  </si>
  <si>
    <t>[Tab "Đã hủy"] Kiểm tra lọc danh sách theo trạng thái</t>
  </si>
  <si>
    <t>Có ≥1 lịch hẹn trạng thái "Đã hủy".</t>
  </si>
  <si>
    <t>1. Tap Tab "Đã hủy".</t>
  </si>
  <si>
    <t>1. Chỉ hiển thị lịch hẹn trạng thái "Đã hủy".</t>
  </si>
  <si>
    <t>TC_026</t>
  </si>
  <si>
    <t>[Tab "Đã bỏ lượt"] Kiểm tra lọc danh sách theo trạng thái</t>
  </si>
  <si>
    <t>Có ≥1 lịch hẹn trạng thái "Đã bỏ lượt".</t>
  </si>
  <si>
    <t>1. Tap Tab "Đã bỏ lượt".</t>
  </si>
  <si>
    <t>1. Chỉ hiển thị lịch hẹn trạng thái "Đã bỏ lượt".</t>
  </si>
  <si>
    <t>TC_027</t>
  </si>
  <si>
    <t>[Tab "Đã hoàn thành"] Kiểm tra lọc danh sách theo trạng thái</t>
  </si>
  <si>
    <t>Có ≥1 lịch hẹn trạng thái "Đã hoàn thành".</t>
  </si>
  <si>
    <t>1. Tap Tab "Đã hoàn thành".</t>
  </si>
  <si>
    <t>1. Chỉ hiển thị lịch hẹn trạng thái "Đã hoàn thành".</t>
  </si>
  <si>
    <t>TC_028</t>
  </si>
  <si>
    <t>[Tab bar] Kiểm tra single selection — chỉ 1 tab active tại 1 thời điểm</t>
  </si>
  <si>
    <t>1. Tap lần lượt các tab "Chờ xác nhận" → "Đã xác nhận" → "Đã hủy".
2. Sau mỗi lần tap, kiểm tra trạng thái tab bar.</t>
  </si>
  <si>
    <t>1 &amp; 2. Tại mọi thời điểm chỉ có đúng 1 tab active (text đỏ + underline); 5 tab còn lại inactive.</t>
  </si>
  <si>
    <t>TC_029</t>
  </si>
  <si>
    <t>[Tab bar] Kiểm tra tab bar swipe ngang khi không hiển thị đủ 6 tab</t>
  </si>
  <si>
    <t>Thiết bị màn hình nhỏ không hiển thị đủ 6 tab cùng lúc.</t>
  </si>
  <si>
    <t>1. Vuốt ngang trên Tab bar.</t>
  </si>
  <si>
    <t>1. Tab bar cho phép scroll ngang để xem tab bị che khuất.</t>
  </si>
  <si>
    <t>TC_030</t>
  </si>
  <si>
    <t>[Tab] Kiểm tra Empty state "Không có dữ liệu." cho tab không có data</t>
  </si>
  <si>
    <t>Tab "Đã hủy" không có lịch hẹn nào.</t>
  </si>
  <si>
    <t>1. Vùng danh sách hiển thị empty state "Không có dữ liệu." (CMR-14).</t>
  </si>
  <si>
    <t>TC_031</t>
  </si>
  <si>
    <t>[Sort order] Kiểm tra danh sách sắp xếp theo "Thời gian đặt" giảm dần</t>
  </si>
  <si>
    <t>Tab "Tất cả" có nhiều lịch hẹn với "Thời gian đặt" khác nhau.</t>
  </si>
  <si>
    <t>1. Kiểm tra thứ tự các card trong danh sách.</t>
  </si>
  <si>
    <t>1. Các card sắp xếp theo "Thời gian đặt" giảm dần (bản ghi có thời gian đặt gần nhất ở trên cùng) — AC4.</t>
  </si>
  <si>
    <t>TC_032</t>
  </si>
  <si>
    <t>[Ô Search] Kiểm tra happy path — nhập keyword hợp lệ → filter đúng sau 3s</t>
  </si>
  <si>
    <t>Đang ở Tab "Tất cả", có lịch hẹn chứa keyword "đầu tư".</t>
  </si>
  <si>
    <t>1. Nhập "đầu tư" vào ô [Search].
2. Chờ 3 giây.
3. Kiểm tra danh sách.</t>
  </si>
  <si>
    <t>3. Danh sách tự hiển thị kết quả chứa "đầu tư" (fuzzy match) mà không cần nhấn Enter (AC9, CMR-01).</t>
  </si>
  <si>
    <t>TC_033</t>
  </si>
  <si>
    <t>[Ô Search] Kiểm tra debounce 3s — gõ liên tục không trigger filter giữa chừng</t>
  </si>
  <si>
    <t>Đang ở Tab "Tất cả".</t>
  </si>
  <si>
    <t>1. Gõ từng ký tự "đ", "ầ", "u", "t", "ư" liên tục trong &lt; 3s.
2. Kiểm tra danh sách trong khi đang gõ.
3. Sau khi ngừng gõ 3s, kiểm tra lại.</t>
  </si>
  <si>
    <t>2. Trong quá trình gõ, danh sách KHÔNG trigger filter sau mỗi ký tự.
3. Sau 3s kể từ ký tự cuối, danh sách mới filter 1 lần.</t>
  </si>
  <si>
    <t>TC_034</t>
  </si>
  <si>
    <t>[Ô Search] Kiểm tra nhập đúng 1 ký tự (min boundary)</t>
  </si>
  <si>
    <t>1. Nhập đúng 1 ký tự "a".
2. Chờ 3s.</t>
  </si>
  <si>
    <t>2. Danh sách filter theo keyword 1 ký tự (fuzzy match).</t>
  </si>
  <si>
    <t>BVA min</t>
  </si>
  <si>
    <t>TC_035</t>
  </si>
  <si>
    <t>[Ô Search] Kiểm tra nhập đúng 500 ký tự (max boundary)</t>
  </si>
  <si>
    <t>1. Nhập chuỗi đúng 500 ký tự (lặp "a" x 500).
2. Chờ 3s.
3. Kiểm tra ô Search + danh sách.</t>
  </si>
  <si>
    <t>3. Ô [Search] chứa đúng 500 ký tự; danh sách trigger filter sau 3s (CMR-01).</t>
  </si>
  <si>
    <t>BVA max</t>
  </si>
  <si>
    <t>TC_036</t>
  </si>
  <si>
    <t>[Ô Search] Kiểm tra chặn ký tự thứ 501 (max + 1)</t>
  </si>
  <si>
    <t>Ô [Search] đang có 500 ký tự.</t>
  </si>
  <si>
    <t>1. Cố gắng gõ thêm ký tự thứ 501.</t>
  </si>
  <si>
    <t>1. Ô [Search] KHÔNG nhận thêm ký tự; giữ nguyên 500 ký tự (hoặc auto truncate = 500).</t>
  </si>
  <si>
    <t>BVA max+1</t>
  </si>
  <si>
    <t>TC_037</t>
  </si>
  <si>
    <t>[Ô Search] Kiểm tra paste chuỗi &gt; 500 ký tự → cắt còn 500</t>
  </si>
  <si>
    <t>Clipboard chứa chuỗi 600 ký tự.</t>
  </si>
  <si>
    <t>1. Focus ô [Search].
2. Paste.</t>
  </si>
  <si>
    <t>2. Ô [Search] chỉ nhận 500 ký tự đầu tiên; 100 ký tự còn lại bị bỏ.</t>
  </si>
  <si>
    <t>BVA paste</t>
  </si>
  <si>
    <t>TC_038</t>
  </si>
  <si>
    <t>[Ô Search] Kiểm tra search theo "Tên thủ tục" — fuzzy match</t>
  </si>
  <si>
    <t>Có lịch hẹn với Tên thủ tục chứa "cấp giấy".</t>
  </si>
  <si>
    <t>1. Nhập "cấp giấy" vào ô [Search].
2. Chờ 3s.</t>
  </si>
  <si>
    <t>2. Kết quả hiển thị tất cả lịch hẹn có Tên thủ tục chứa "cấp giấy".</t>
  </si>
  <si>
    <t>TC_039</t>
  </si>
  <si>
    <t>[Ô Search] Kiểm tra search theo "Mã thủ tục" — fuzzy match</t>
  </si>
  <si>
    <t>Có lịch hẹn với Mã thủ tục chứa "2.000412".</t>
  </si>
  <si>
    <t>1. Nhập "2.000412" vào ô [Search].
2. Chờ 3s.</t>
  </si>
  <si>
    <t>2. Kết quả hiển thị tất cả lịch hẹn có Mã thủ tục chứa "2.000412".</t>
  </si>
  <si>
    <t>TC_040</t>
  </si>
  <si>
    <t>[Ô Search] Kiểm tra scope search áp dụng toàn bộ tab</t>
  </si>
  <si>
    <t>Đang ở Tab "Chờ xác nhận", có lịch hẹn ở các tab khác chứa keyword "xyz-chung".</t>
  </si>
  <si>
    <t>1. Nhập "xyz-chung" vào ô [Search].
2. Chờ 3s.
3. Kiểm tra kết quả + tab active.</t>
  </si>
  <si>
    <t>3.
- Kết quả trả về bao gồm lịch hẹn từ TẤT CẢ trạng thái (không giới hạn "Chờ xác nhận").
- Kết quả hiển thị trên Tab "Tất cả" (AC9).</t>
  </si>
  <si>
    <t>TC_041</t>
  </si>
  <si>
    <t>[Ô Search] Kiểm tra keyword không có match → "Không tìm thấy kết quả."</t>
  </si>
  <si>
    <t>Không có lịch hẹn nào match keyword "xyz123notexist".</t>
  </si>
  <si>
    <t>1. Nhập "xyz123notexist" vào ô [Search].
2. Chờ 3s.</t>
  </si>
  <si>
    <t>2. Hiển thị empty state "Không tìm thấy kết quả." (CMR-14).</t>
  </si>
  <si>
    <t>TC_042</t>
  </si>
  <si>
    <t>[Ô Search] Kiểm tra xóa hết keyword → danh sách reset về mặc định</t>
  </si>
  <si>
    <t>Đã nhập keyword và có kết quả filter.</t>
  </si>
  <si>
    <t>1. Xóa toàn bộ ký tự trong ô [Search].
2. Chờ 3s.</t>
  </si>
  <si>
    <t>2. Danh sách trở về trạng thái mặc định theo Tab đang chọn (hiển thị tất cả) — AC10.</t>
  </si>
  <si>
    <t>TC_043</t>
  </si>
  <si>
    <t>[Ô Search] Kiểm tra nhập chỉ khoảng trắng → coi như rỗng</t>
  </si>
  <si>
    <t>1. Nhập chỉ spaces "   ".
2. Chờ 3s.</t>
  </si>
  <si>
    <t>2. Hệ thống xử lý như rỗng; hiển thị danh sách mặc định (không filter vô nghĩa).</t>
  </si>
  <si>
    <t>EP invalid</t>
  </si>
  <si>
    <t>TC_044</t>
  </si>
  <si>
    <t>[Ô Search] Kiểm tra nhập keyword tiếng Việt có dấu (UTF-8)</t>
  </si>
  <si>
    <t>Có lịch hẹn với Tên thủ tục chứa "Đầu tư".</t>
  </si>
  <si>
    <t>1. Nhập "Đầu tư" (có dấu).
2. Chờ 3s.</t>
  </si>
  <si>
    <t>2. Search khớp đúng; các ký tự UTF-8 không gây lỗi.</t>
  </si>
  <si>
    <t>EP Unicode</t>
  </si>
  <si>
    <t>TC_045</t>
  </si>
  <si>
    <t>[Ô Search] Kiểm tra nhập emoji/ký tự đặc biệt → không crash</t>
  </si>
  <si>
    <t>1. Nhập "😀" hoặc "&lt;&gt;&amp;'".
2. Chờ 3s.</t>
  </si>
  <si>
    <t>2. App không crash; hiển thị "Không tìm thấy kết quả." nếu không match.</t>
  </si>
  <si>
    <t>Security client-side</t>
  </si>
  <si>
    <t>TC_046</t>
  </si>
  <si>
    <t>[Icon Filter] Kiểm tra tap mở Bottom Sheet</t>
  </si>
  <si>
    <t>1. Tap icon [Filter].</t>
  </si>
  <si>
    <t>1. Bottom Sheet Filter trượt lên từ dưới, hiển thị đầy đủ các control (CMR-02).</t>
  </si>
  <si>
    <t>TC_047</t>
  </si>
  <si>
    <t>[Dropdown Lĩnh vực] Kiểm tra tap mở dropdown</t>
  </si>
  <si>
    <t>Bottom Sheet Filter đang mở.</t>
  </si>
  <si>
    <t>1. Tap Dropdown "Lĩnh vực".</t>
  </si>
  <si>
    <t>1. Mở danh sách option Lĩnh vực từ danh mục hệ thống; option "Tất cả lĩnh vực" ở trên cùng.</t>
  </si>
  <si>
    <t>TC_048</t>
  </si>
  <si>
    <t>[Dropdown Lĩnh vực] Kiểm tra option đã chọn được highlight/bold khi mở lại</t>
  </si>
  <si>
    <t>Đã chọn Lĩnh vực X trước đó.</t>
  </si>
  <si>
    <t>1. Mở lại Dropdown "Lĩnh vực".
2. Kiểm tra hiển thị các option.</t>
  </si>
  <si>
    <t>2. Option X được highlight/bold; các option khác hiển thị bình thường (CMR-03).</t>
  </si>
  <si>
    <t>TC_049</t>
  </si>
  <si>
    <t>[Dropdown Lĩnh vực] Kiểm tra tìm kiếm inline trong dropdown</t>
  </si>
  <si>
    <t>Dropdown "Lĩnh vực" đang mở.</t>
  </si>
  <si>
    <t>1. Nhập vài ký tự vào ô tìm kiếm trong dropdown.</t>
  </si>
  <si>
    <t>1. Danh sách option tự lọc theo fuzzy match.</t>
  </si>
  <si>
    <t>TC_050</t>
  </si>
  <si>
    <t>[Dropdown Lĩnh vực] Kiểm tra option text dài → truncate "..."</t>
  </si>
  <si>
    <t>Có option với tên vượt giới hạn ký tự hiển thị.</t>
  </si>
  <si>
    <t>1. Mở Dropdown "Lĩnh vực".
2. Kiểm tra hiển thị option dài.</t>
  </si>
  <si>
    <t>2. Option tự cắt ngắn và thêm "..." ở cuối (CMR-03).</t>
  </si>
  <si>
    <t>TC_051</t>
  </si>
  <si>
    <t>[Filter] Kiểm tra chỉ chọn Lĩnh vực (Valid) + DVC mặc định</t>
  </si>
  <si>
    <t>1. Chọn Lĩnh vực "Đầu tư".
2. Giữ Dịch vụ công = "Tất cả dịch vụ công".
3. Tap [Áp dụng].</t>
  </si>
  <si>
    <t>3. Bottom Sheet đóng; danh sách filter theo Lĩnh vực "Đầu tư" (mọi dịch vụ công) — AC7.</t>
  </si>
  <si>
    <t>Decision Table</t>
  </si>
  <si>
    <t>TC_052</t>
  </si>
  <si>
    <t>[Filter] Kiểm tra chỉ chọn Dịch vụ công (Valid) + Lĩnh vực mặc định</t>
  </si>
  <si>
    <t>1. Giữ Lĩnh vực = "Tất cả lĩnh vực".
2. Chọn Dịch vụ công "Dịch vụ công trực tuyến mức độ 4".
3. Tap [Áp dụng].</t>
  </si>
  <si>
    <t>3. Danh sách filter theo DVC "mức độ 4" (mọi lĩnh vực).</t>
  </si>
  <si>
    <t>TC_053</t>
  </si>
  <si>
    <t>[Filter] Kiểm tra chọn cả Lĩnh vực + Dịch vụ công</t>
  </si>
  <si>
    <t>1. Chọn Lĩnh vực "Đầu tư".
2. Chọn Dịch vụ công "Mức độ 4".
3. Tap [Áp dụng].</t>
  </si>
  <si>
    <t>3. Danh sách filter đồng thời theo CẢ 2 tiêu chí (AND logic) — AC7.</t>
  </si>
  <si>
    <t>TC_054</t>
  </si>
  <si>
    <t>[Filter] Kiểm tra combo không có data matching</t>
  </si>
  <si>
    <t>Bottom Sheet Filter đang mở; không có lịch hẹn nào match combo sau đây.</t>
  </si>
  <si>
    <t>1. Chọn Lĩnh vực X.
2. Chọn Dịch vụ công Y (combo không có data).
3. Tap [Áp dụng].</t>
  </si>
  <si>
    <t>3. Bottom Sheet đóng; hiển thị "Không tìm thấy kết quả." (CMR-14).</t>
  </si>
  <si>
    <t>TC_055</t>
  </si>
  <si>
    <t>[Filter] Kiểm tra filter độc lập — chọn Lĩnh vực KHÔNG ảnh hưởng danh sách Dịch vụ công</t>
  </si>
  <si>
    <t>1. Mở Dropdown "Dịch vụ công", ghi nhận số lượng option.
2. Đóng dropdown, chọn 1 Lĩnh vực X.
3. Mở lại Dropdown "Dịch vụ công".</t>
  </si>
  <si>
    <t>3. Số lượng option Dịch vụ công KHÔNG bị cắt/thu hẹp theo Lĩnh vực X; vẫn đầy đủ như bước 1 (AC7).</t>
  </si>
  <si>
    <t>No cascade</t>
  </si>
  <si>
    <t>TC_056</t>
  </si>
  <si>
    <t>[Nút Nhập lại] Kiểm tra reset filter, không đóng Bottom Sheet, không gọi API</t>
  </si>
  <si>
    <t>Đã chọn Lĩnh vực X + Dịch vụ công Y, Bottom Sheet đang mở.</t>
  </si>
  <si>
    <t>1. Tap nút [Nhập lại].</t>
  </si>
  <si>
    <t>1.
- Dropdown Lĩnh vực reset về "Tất cả lĩnh vực".
- Dropdown Dịch vụ công reset về "Tất cả dịch vụ công".
- Bottom Sheet VẪN MỞ.
- Danh sách phía sau KHÔNG thay đổi (không gọi API).</t>
  </si>
  <si>
    <t>TC_057</t>
  </si>
  <si>
    <t>[Nút Áp dụng] Kiểm tra đóng Bottom Sheet, gọi API, cập nhật danh sách</t>
  </si>
  <si>
    <t>Đã chọn filter, Bottom Sheet đang mở.</t>
  </si>
  <si>
    <t>1. Tap nút [Áp dụng].</t>
  </si>
  <si>
    <t>1.
- Bottom Sheet đóng.
- App gọi API với tham số filter đã chọn.
- Danh sách cập nhật theo filter.</t>
  </si>
  <si>
    <t>TC_058</t>
  </si>
  <si>
    <t>[Active Filter Indicator] Kiểm tra indicator xanh lá khi filter ≠ mặc định</t>
  </si>
  <si>
    <t>Vừa Áp dụng filter có tiêu chí ≠ "Tất cả".</t>
  </si>
  <si>
    <t>1. Icon [Filter] có chấm indicator màu xanh lá cây ở góc phải trên (AC8, CMR-02).</t>
  </si>
  <si>
    <t>TC_059</t>
  </si>
  <si>
    <t>[Active Filter Indicator] Kiểm tra indicator ẩn khi reset về mặc định</t>
  </si>
  <si>
    <t>Đang có indicator xanh lá (filter active).</t>
  </si>
  <si>
    <t>1. Mở Filter.
2. Tap [Nhập lại].
3. Tap [Áp dụng].
4. Kiểm tra icon [Filter].</t>
  </si>
  <si>
    <t>4. Indicator xanh lá ẩn đi; icon [Filter] về trạng thái mặc định.</t>
  </si>
  <si>
    <t>TC_060</t>
  </si>
  <si>
    <t>[Nút X Bottom Sheet] Kiểm tra đóng Bottom Sheet, không áp dụng</t>
  </si>
  <si>
    <t>Bottom Sheet Filter đang mở, đã chọn tiêu chí mới.</t>
  </si>
  <si>
    <t>1. Tap nút [X] góc phải trên.</t>
  </si>
  <si>
    <t>1. Bottom Sheet đóng; danh sách phía sau giữ nguyên theo filter cũ; tiêu chí vừa chọn bị hủy (không lưu).</t>
  </si>
  <si>
    <t>TC_061</t>
  </si>
  <si>
    <t>[Bottom Sheet] Kiểm tra tap vùng ngoài Bottom Sheet → đóng</t>
  </si>
  <si>
    <t>1. Tap vào vùng mờ ngoài Bottom Sheet.</t>
  </si>
  <si>
    <t>1. Bottom Sheet đóng, không thay đổi kết quả hiện tại.</t>
  </si>
  <si>
    <t>TC_062</t>
  </si>
  <si>
    <t>[Card] Kiểm tra tap card → navigate sang Chi tiết lịch hẹn</t>
  </si>
  <si>
    <t>Đang ở Danh sách, có ≥1 card.</t>
  </si>
  <si>
    <t>1. Tap vào bất kỳ vùng nào của 1 card (hoặc icon "&gt;").</t>
  </si>
  <si>
    <t>1. Navigate sang Màn hình [Chi tiết lịch hẹn] với đúng mã lịch hẹn của card đó.</t>
  </si>
  <si>
    <t>TC_063</t>
  </si>
  <si>
    <t>[Card] Kiểm tra Badge read-only — không có action riêng khi tap</t>
  </si>
  <si>
    <t>Đang ở Danh sách.</t>
  </si>
  <si>
    <t>1. Tap chính xác lên vùng Badge trạng thái của 1 card.</t>
  </si>
  <si>
    <t>1. Badge không có phản hồi riêng (không mở menu, không toast); app vẫn navigate sang [Chi tiết] vì tap toàn card.</t>
  </si>
  <si>
    <t>TC_064</t>
  </si>
  <si>
    <t>[Card] Kiểm tra debounce double-tap — chỉ navigate 1 lần</t>
  </si>
  <si>
    <t>1. Double-tap nhanh liên tục vào 1 card.</t>
  </si>
  <si>
    <t>1. App chỉ navigate 1 lần sang [Chi tiết]; không mở 2 instance (CMR-18).</t>
  </si>
  <si>
    <t>TC_065</t>
  </si>
  <si>
    <t>[Lazy load] Kiểm tra first page load — 20 records đầu tiên</t>
  </si>
  <si>
    <t>Tài khoản có &gt; 20 lịch hẹn, tab "Tất cả" active.</t>
  </si>
  <si>
    <t>1. Mở Màn hình [Danh sách lịch hẹn].
2. Kiểm tra số lượng card hiển thị.</t>
  </si>
  <si>
    <t>2. Danh sách hiển thị tối đa 20 card (page 1) — AC13, CMR-04.</t>
  </si>
  <si>
    <t>TC_066</t>
  </si>
  <si>
    <t>[Lazy load] Kiểm tra tổng 20 records → không trigger lazy load</t>
  </si>
  <si>
    <t>Tài khoản có đúng 20 lịch hẹn.</t>
  </si>
  <si>
    <t>1. Mở Danh sách.
2. Cuộn xuống cuối danh sách.</t>
  </si>
  <si>
    <t>2.
- Hiển thị đủ 20 card.
- Không trigger thêm page; không hiển thị spinner lazy ở cuối.</t>
  </si>
  <si>
    <t>BVA size=20</t>
  </si>
  <si>
    <t>TC_067</t>
  </si>
  <si>
    <t>[Lazy load] Kiểm tra tổng 21 records → cuộn cuối trigger page 2 (1 record)</t>
  </si>
  <si>
    <t>Tài khoản có đúng 21 lịch hẹn.</t>
  </si>
  <si>
    <t>1. Mở Danh sách (load page 1 = 20).
2. Cuộn đến cuối.</t>
  </si>
  <si>
    <t>2. Auto trigger load page 2 thêm 1 record; tổng hiển thị 21.</t>
  </si>
  <si>
    <t>BVA size=21</t>
  </si>
  <si>
    <t>TC_068</t>
  </si>
  <si>
    <t>[Lazy load] Kiểm tra tổng 40 records → 2 page đầy</t>
  </si>
  <si>
    <t>Tài khoản có đúng 40 lịch hẹn.</t>
  </si>
  <si>
    <t>1. Mở Danh sách.
2. Cuộn đến cuối page 1.
3. Cuộn đến cuối page 2.</t>
  </si>
  <si>
    <t>2. Trigger load page 2 (20 thêm).
3. Không trigger thêm page; tổng 40.</t>
  </si>
  <si>
    <t>BVA size=40</t>
  </si>
  <si>
    <t>TC_069</t>
  </si>
  <si>
    <t>[Lazy load] Kiểm tra spinner cục bộ khi load page tiếp theo</t>
  </si>
  <si>
    <t>Đã load page 1, tổng &gt; 20 records.</t>
  </si>
  <si>
    <t>1. Cuộn đến cuối page 1.
2. Kiểm tra hiển thị trong khi đang load page 2.</t>
  </si>
  <si>
    <t>2. Hiển thị spinner cục bộ ở cuối danh sách; spinner ẩn sau khi load xong (CMR-07).</t>
  </si>
  <si>
    <t>TC_070</t>
  </si>
  <si>
    <t>[Lazy load] Kiểm tra retry tự động 3 lần khi page N fail</t>
  </si>
  <si>
    <t>Simulate API lazy load page 2 trả lỗi.</t>
  </si>
  <si>
    <t>1. Cuộn cuối trigger lazy load page 2.
2. Kiểm tra hệ thống retry.</t>
  </si>
  <si>
    <t>2. App tự retry 3 lần (mỗi lần ~2s). Nếu 1 trong 3 lần thành công → append records; nếu tất cả fail → dừng.</t>
  </si>
  <si>
    <t>TC_071</t>
  </si>
  <si>
    <t>[Lazy load] Kiểm tra sau 3 lần retry vẫn fail → hiển thị lỗi cục bộ</t>
  </si>
  <si>
    <t>Simulate API lazy load luôn fail.</t>
  </si>
  <si>
    <t>1. Cuộn cuối trigger lazy load.
2. Chờ đủ 3 lần retry.</t>
  </si>
  <si>
    <t>2. Sau 3 lần fail: dừng auto retry; hiển thị message lỗi cục bộ ở cuối danh sách (AC14).</t>
  </si>
  <si>
    <t>TC_072</t>
  </si>
  <si>
    <t>[Lazy load] Kiểm tra pull-to-refresh để tải lại sau lazy fail</t>
  </si>
  <si>
    <t>Đã hiển thị lỗi lazy load cục bộ ở cuối danh sách.</t>
  </si>
  <si>
    <t>1. Kéo xuống pull-to-refresh.</t>
  </si>
  <si>
    <t>1. App gọi lại API từ page 1; reset toàn bộ danh sách; ẩn message lỗi cục bộ.</t>
  </si>
  <si>
    <t>TC_073</t>
  </si>
  <si>
    <t>[Pull to refresh] Kiểm tra trên Danh sách → refresh từ page 1</t>
  </si>
  <si>
    <t>Đang ở Danh sách có data.</t>
  </si>
  <si>
    <t>1. Kéo xuống từ đầu danh sách.
2. Quan sát hiển thị.</t>
  </si>
  <si>
    <t>2.
- Spinner hiển thị ở đầu danh sách.
- App gọi API page 1.
- Cập nhật danh sách.
- Ẩn spinner (AC11, CMR-13).</t>
  </si>
  <si>
    <t>TC_074</t>
  </si>
  <si>
    <t>[Pull to refresh] Kiểm tra giữ nguyên tab + search + filter hiện tại</t>
  </si>
  <si>
    <t>Đang Tab "Chờ xác nhận" + search keyword "abc" + filter active.</t>
  </si>
  <si>
    <t>1. Pull-to-refresh.</t>
  </si>
  <si>
    <t>1. Refresh nhưng vẫn giữ tab "Chờ xác nhận", keyword "abc", filter active.</t>
  </si>
  <si>
    <t>TC_075</t>
  </si>
  <si>
    <t>[Pull to refresh] Kiểm tra khi đang ở page N → reset về page 1</t>
  </si>
  <si>
    <t>Đã load đến page 3 (&gt;40 records hiển thị), scroll đang ở giữa.</t>
  </si>
  <si>
    <t>1. Danh sách load lại từ page 1 (tối đa 20 records); scroll về đầu; lazy state reset.</t>
  </si>
  <si>
    <t>TC_076</t>
  </si>
  <si>
    <t>[Loading state] Kiểm tra first-load → full-screen overlay</t>
  </si>
  <si>
    <t>Lần đầu vào Màn hình [Danh sách lịch hẹn].</t>
  </si>
  <si>
    <t>1. Tap Quick Access.
2. Kiểm tra hiển thị trong khi chờ API.</t>
  </si>
  <si>
    <t>2. Full-screen loading overlay hiển thị trên toàn màn hình; sau khi API trả → ẩn overlay, hiển thị danh sách (AC17).</t>
  </si>
  <si>
    <t>TC_077</t>
  </si>
  <si>
    <t>[Loading state] Kiểm tra đổi tab → chỉ spinner cục bộ (không full-screen)</t>
  </si>
  <si>
    <t>Đã first-load xong, đang Tab "Tất cả".</t>
  </si>
  <si>
    <t>1. Tap Tab "Chờ xác nhận".
2. Kiểm tra hiển thị trong khi chờ API.</t>
  </si>
  <si>
    <t>2. Chỉ hiển thị spinner cục bộ trong vùng danh sách; KHÔNG full-screen overlay.</t>
  </si>
  <si>
    <t>TC_078</t>
  </si>
  <si>
    <t>[State persistence] Kiểm tra giữ nguyên tab khi quay lại từ Chi tiết</t>
  </si>
  <si>
    <t>Đang Tab "Chờ xác nhận" trên Danh sách.</t>
  </si>
  <si>
    <t>1. Tap 1 card.
2. Vào Chi tiết.
3. Tap Back (←).</t>
  </si>
  <si>
    <t>3. Quay về Danh sách với Tab "Chờ xác nhận" vẫn active (không reset về "Tất cả") — AC2.</t>
  </si>
  <si>
    <t>TC_079</t>
  </si>
  <si>
    <t>[State persistence] Kiểm tra giữ scroll position khi quay lại từ Chi tiết</t>
  </si>
  <si>
    <t>Cuộn đến card thứ 15 trên Danh sách.</t>
  </si>
  <si>
    <t>1. Tap card 15.
2. Vào Chi tiết.
3. Tap Back (←).</t>
  </si>
  <si>
    <t>3. Quay về Danh sách với scroll vẫn ở vị trí card 15 (AC2).</t>
  </si>
  <si>
    <t>TC_080</t>
  </si>
  <si>
    <t>[State persistence] Kiểm tra giữ search keyword khi quay lại từ Chi tiết</t>
  </si>
  <si>
    <t>Đã search keyword "đầu tư" trên Danh sách.</t>
  </si>
  <si>
    <t>1. Tap 1 card trong kết quả.
2. Vào Chi tiết.
3. Tap Back (←).</t>
  </si>
  <si>
    <t>3. Ô [Search] vẫn giữ "đầu tư"; danh sách vẫn hiển thị kết quả search (AC18, CMR-01).</t>
  </si>
  <si>
    <t>TC_081</t>
  </si>
  <si>
    <t>[State persistence] Kiểm tra giữ filter khi quay lại từ Chi tiết</t>
  </si>
  <si>
    <t>Đã áp dụng filter Lĩnh vực = X.</t>
  </si>
  <si>
    <t>3. Indicator xanh lá trên icon [Filter] vẫn hiển thị; danh sách vẫn filter theo Lĩnh vực X (AC18).</t>
  </si>
  <si>
    <t>TC_082</t>
  </si>
  <si>
    <t>[State persistence] Kiểm tra reset search + filter khi chuyển tab khác</t>
  </si>
  <si>
    <t>Tab "Tất cả" có search "đầu tư" + filter Lĩnh vực X active.</t>
  </si>
  <si>
    <t>1.
- Ô [Search] rỗng (reset).
- Filter indicator ẩn (reset về mặc định) — AC19.</t>
  </si>
  <si>
    <t>TC_083</t>
  </si>
  <si>
    <t>[Physical Back Android] Kiểm tra Physical Back đóng Bottom Sheet khi đang mở</t>
  </si>
  <si>
    <t>Android, Bottom Sheet Filter đang mở.</t>
  </si>
  <si>
    <t>1. Nhấn Physical Back button trên thiết bị Android.</t>
  </si>
  <si>
    <t>1. Bottom Sheet đóng; không thoát màn [Danh sách]; danh sách không đổi (assumption Q6).</t>
  </si>
  <si>
    <t>TC_084</t>
  </si>
  <si>
    <t>[Error] Kiểm tra mất mạng (Danh sách) → message + nút Thử lại</t>
  </si>
  <si>
    <t>Đã đăng nhập, tắt mạng trước khi mở màn.</t>
  </si>
  <si>
    <t>1. Mở Màn hình [Danh sách lịch hẹn].</t>
  </si>
  <si>
    <t>1. Hiển thị message "Không thể kết nối. Vui lòng kiểm tra mạng và thử lại." kèm nút "Thử lại" (AC15, CMR-07).</t>
  </si>
  <si>
    <t>TC_085</t>
  </si>
  <si>
    <t>[Error] Kiểm tra lỗi 500 → message không có Thử lại</t>
  </si>
  <si>
    <t>Simulate API trả HTTP 500.</t>
  </si>
  <si>
    <t>1. Mở Danh sách.</t>
  </si>
  <si>
    <t>1. Hiển thị "Hệ thống đang bận. Vui lòng thử lại sau." — KHÔNG có nút Thử lại (AC15, CMR-07).</t>
  </si>
  <si>
    <t>TC_086</t>
  </si>
  <si>
    <t>[Error] Kiểm tra timeout &gt; 10s → message + Thử lại</t>
  </si>
  <si>
    <t>Simulate API mất &gt; 10s chưa phản hồi.</t>
  </si>
  <si>
    <t>1. Mở Danh sách.
2. Chờ 10s.</t>
  </si>
  <si>
    <t>2. Hiển thị "Yêu cầu đã hết thời gian chờ. Vui lòng thử lại." kèm nút "Thử lại" (CMR-16).</t>
  </si>
  <si>
    <t>TC_087</t>
  </si>
  <si>
    <t>[Error] Kiểm tra API response 9.9s (dưới 10s) → load thành công</t>
  </si>
  <si>
    <t>Simulate API response ~9.9s.</t>
  </si>
  <si>
    <t>1. Mở Danh sách.
2. Chờ đến khi response trả về.</t>
  </si>
  <si>
    <t>2. Danh sách hiển thị thành công; KHÔNG trigger timeout.</t>
  </si>
  <si>
    <t>BVA 9.9s</t>
  </si>
  <si>
    <t>TC_088</t>
  </si>
  <si>
    <t>[Error] Kiểm tra API response 10.1s (trên 10s) → trigger timeout</t>
  </si>
  <si>
    <t>Simulate API response ~10.1s.</t>
  </si>
  <si>
    <t>1. Mở Danh sách.
2. Chờ qua 10s.</t>
  </si>
  <si>
    <t>2. Trigger timeout; hiển thị "Yêu cầu đã hết thời gian chờ. Vui lòng thử lại." kèm nút "Thử lại".</t>
  </si>
  <si>
    <t>BVA 10.1s</t>
  </si>
  <si>
    <t>TC_089</t>
  </si>
  <si>
    <t>[Error 401] Kiểm tra 401 + refresh token hợp lệ → silent retry thành công</t>
  </si>
  <si>
    <t>API trả 401 nhưng refresh token còn hiệu lực (&lt; 15 ngày).</t>
  </si>
  <si>
    <t>1. Mở Danh sách.
2. Kiểm tra hành vi phía client.</t>
  </si>
  <si>
    <t>2. App tự động refresh token và retry API gốc; user không bị gián đoạn; danh sách hiển thị thành công.</t>
  </si>
  <si>
    <t>TC_090</t>
  </si>
  <si>
    <t>[Error 401] Kiểm tra 401 + refresh token hết hạn (&gt;15 ngày) → toast + redirect login</t>
  </si>
  <si>
    <t>API trả 401, refresh token cũng đã hết hạn.</t>
  </si>
  <si>
    <t>1. Hiển thị toast "Phiên đăng nhập hết hạn."; redirect về màn [Đăng nhập] (AC16, CMR-07).</t>
  </si>
  <si>
    <t>TC_091</t>
  </si>
  <si>
    <t>[Error Retry] Kiểm tra tap "Thử lại" sau lỗi mạng + mạng phục hồi → load thành công</t>
  </si>
  <si>
    <t>Đang hiển thị lỗi mạng với nút "Thử lại".</t>
  </si>
  <si>
    <t>1. Bật mạng lại.
2. Tap "Thử lại".</t>
  </si>
  <si>
    <t>2. App gọi lại API thành công; ẩn lỗi; hiển thị danh sách.</t>
  </si>
  <si>
    <t>TC_092</t>
  </si>
  <si>
    <t>[Offline] Kiểm tra offline khi đang xem danh sách → pull-to-refresh báo lỗi</t>
  </si>
  <si>
    <t>Đang xem danh sách có data.</t>
  </si>
  <si>
    <t>1. Tắt mạng.
2. Pull-to-refresh.</t>
  </si>
  <si>
    <t>2. Hiển thị lỗi mạng (không cache theo assumption Q30).</t>
  </si>
  <si>
    <t>Assumption</t>
  </si>
  <si>
    <t>TC_093</t>
  </si>
  <si>
    <t>[i18n] Kiểm tra đổi ngôn ngữ sang English → text cứng đổi, text động giữ nguyên</t>
  </si>
  <si>
    <t>Ngôn ngữ hiện tại VI. Có ≥1 lịch hẹn.</t>
  </si>
  <si>
    <t>1. Đổi ngôn ngữ app sang English.
2. Mở Màn hình [Danh sách lịch hẹn].
3. Kiểm tra text.</t>
  </si>
  <si>
    <t>3.
- Text cứng đổi sang EN: Header, tên tab, label, placeholder, nút, message.
- Text động giữ nguyên: Tên thủ tục, Tên lĩnh vực, Tên dịch vụ công (từ API) — AC20, CMR-17.</t>
  </si>
  <si>
    <t>TC_094</t>
  </si>
  <si>
    <t>[i18n] Kiểm tra đổi ngôn ngữ sang Tiếng Trung → text cứng đổi</t>
  </si>
  <si>
    <t>Ngôn ngữ hiện tại VI.</t>
  </si>
  <si>
    <t>1. Đổi ngôn ngữ app sang 中文.
2. Mở Danh sách.
3. Kiểm tra text.</t>
  </si>
  <si>
    <t>3. Text cứng (Header, tab, label, button, message) đổi sang Tiếng Trung; text động giữ nguyên.</t>
  </si>
  <si>
    <t>TC_095</t>
  </si>
  <si>
    <t>[i18n] Kiểm tra đổi ngôn ngữ sang Tiếng Nhật → text cứng đổi</t>
  </si>
  <si>
    <t>1. Đổi ngôn ngữ app sang 日本語.
2. Mở Danh sách.
3. Kiểm tra text.</t>
  </si>
  <si>
    <t>3. Text cứng đổi sang Tiếng Nhật; text động giữ nguyên.</t>
  </si>
  <si>
    <t>TC_096</t>
  </si>
  <si>
    <t>[i18n] Kiểm tra đổi ngôn ngữ sang Tiếng Hàn → text cứng đổi</t>
  </si>
  <si>
    <t>1. Đổi ngôn ngữ app sang 한국어.
2. Mở Danh sách.</t>
  </si>
  <si>
    <t>Text cứng đổi sang Tiếng Hàn; text động giữ nguyên.</t>
  </si>
  <si>
    <t>TC_097</t>
  </si>
  <si>
    <t>[i18n] Kiểm tra format ngày giờ giữ nguyên DD/MM/YYYY HH:mm GMT+7 trên mọi locale</t>
  </si>
  <si>
    <t>Đã đổi ngôn ngữ lần lượt VI → EN → JA → KO.</t>
  </si>
  <si>
    <t>1. Tại mỗi ngôn ngữ, quan sát format "Thời gian đặt" trên card.</t>
  </si>
  <si>
    <t>Format vẫn là DD/MM/YYYY HH:mm (24h GMT+7) — KHÔNG đổi sang MM/DD/YYYY hay 12h AM/PM (CMR-12).</t>
  </si>
  <si>
    <t>TC_098</t>
  </si>
  <si>
    <t>[A11y] Kiểm tra Screen reader đọc được Header, Tab, Card, Button</t>
  </si>
  <si>
    <t>Bật VoiceOver (iOS) hoặc TalkBack (Android).</t>
  </si>
  <si>
    <t>1. Điều hướng qua Header, Tab bar, Card, icon Filter, nút Back.</t>
  </si>
  <si>
    <t>1. Mỗi thành phần được đọc rõ ràng theo nội dung (AC21).</t>
  </si>
  <si>
    <t>TC_099</t>
  </si>
  <si>
    <t>[Security] Kiểm tra search box không bị XSS/SQL injection qua UI</t>
  </si>
  <si>
    <t>1. Nhập &lt;script&gt;alert(1)&lt;/script&gt; vào ô [Search].
2. Chờ 3s.</t>
  </si>
  <si>
    <t>2. App không thực thi script; hiển thị "Không tìm thấy kết quả." hoặc coi như keyword bình thường; không crash.</t>
  </si>
  <si>
    <t>TC_100</t>
  </si>
  <si>
    <t>[UX Loading] Kiểm tra không có overlay khi chỉ switch tab</t>
  </si>
  <si>
    <t>First-load đã hoàn tất.</t>
  </si>
  <si>
    <t>1. Tap Tab bất kỳ khác.</t>
  </si>
  <si>
    <t>1. Không có full-screen overlay; chỉ có spinner cục bộ trong vùng danh sách.</t>
  </si>
  <si>
    <t>Check common</t>
  </si>
  <si>
    <t>Kiểm tra các trường hợp phổ biến UI/UX</t>
  </si>
  <si>
    <t>TC_101</t>
  </si>
  <si>
    <t>Kiểm tra hiển thị dữ liệu tối đa (maxlength)</t>
  </si>
  <si>
    <t>1. Kiểm tra hiển thị dữ liệu tối đa (maxlength)</t>
  </si>
  <si>
    <t>1. Hiển thị đúng độ dài tối đa</t>
  </si>
  <si>
    <t>TC_102</t>
  </si>
  <si>
    <t>Kiểm tra khôi phục/phóng to/thu nhỏ ứng dụng</t>
  </si>
  <si>
    <t>1. Thực hiện khôi phục, phóng to, thu nhỏ ứng dụng</t>
  </si>
  <si>
    <t>1. Không xảy ra lỗi bất thường</t>
  </si>
  <si>
    <t>TC_103</t>
  </si>
  <si>
    <t>Kiểm tra tính nhất quán của các thông báo</t>
  </si>
  <si>
    <t>1. Kiểm tra tính nhất quán của các thông báo</t>
  </si>
  <si>
    <t>1. Xác nhận thông báo lỗi:
- Thông báo lỗi inline: hiển thị dưới ô nhập liệu bị lỗi, màu đỏ
- Thông báo lỗi dạng toast: hiển thị ở giữa hoặc phía dưới màn hình</t>
  </si>
  <si>
    <t>TC_104</t>
  </si>
  <si>
    <t>Kiểm tra hiển thị khi thiết bị ở chế độ dọc (thiết bị xoay theo chiều đứng)</t>
  </si>
  <si>
    <t>1. Kiểm tra hiển thị khi thiết bị ở chế độ dọc</t>
  </si>
  <si>
    <t>1. Không có lỗi gì xảy ra, giao diện không bị vỡ</t>
  </si>
  <si>
    <t>TC_105</t>
  </si>
  <si>
    <t>Kiểm tra hiển thị khi thiết bị ở chế độ ngang (thiết bị xoay theo chiều ngang)</t>
  </si>
  <si>
    <t>1. Kiểm tra hiển thị khi thiết bị ở chế độ ngang</t>
  </si>
  <si>
    <t>TC_106</t>
  </si>
  <si>
    <t>Kiểm tra hiển thị khi chuyển đổi giữa chế độ dọc và ngang</t>
  </si>
  <si>
    <t>1. Kiểm tra hiển thị khi chuyển từ chế độ dọc sang ngang
2. Kiểm tra hiển thị khi chuyển từ chế độ ngang sang dọc</t>
  </si>
  <si>
    <t>1 &amp; 2. Không có lỗi gì xảy ra, giao diện không bị vỡ</t>
  </si>
  <si>
    <t>TC_107</t>
  </si>
  <si>
    <t>Kiểm tra hiển thị khi thiết bị sử dụng cỡ chữ lớn nhất</t>
  </si>
  <si>
    <t>1. Kiểm tra hiển thị khi thiết bị sử dụng cỡ chữ lớn nhất</t>
  </si>
  <si>
    <t>1. Giao diện không bị vỡ</t>
  </si>
  <si>
    <t>TC_108</t>
  </si>
  <si>
    <t>Kiểm tra hiển thị khi thiết bị sử dụng cỡ chữ nhỏ nhất</t>
  </si>
  <si>
    <t>1. Kiểm tra hiển thị khi thiết bị sử dụng cỡ chữ nhỏ nhất</t>
  </si>
  <si>
    <t>Kiểm tra tương tác cơ bản với thiết bị</t>
  </si>
  <si>
    <t>TC_109</t>
  </si>
  <si>
    <t>Xác nhận hiển thị của ứng dụng khi người dùng chạm vào nút [Quay lại] trên thiết bị Android</t>
  </si>
  <si>
    <t>1. Mở ứng dụng
2. Người dùng chạm vào nút [Quay lại] trên thiết bị Android
3. Xác nhận hiển thị</t>
  </si>
  <si>
    <t>3. Quay lại màn hình trước đó</t>
  </si>
  <si>
    <t>TC_110</t>
  </si>
  <si>
    <t>Xác nhận hiển thị của ứng dụng khi người dùng vuốt từ trái sang phải trên thiết bị iOS</t>
  </si>
  <si>
    <t>1. Mở ứng dụng
2. Người dùng vuốt từ trái sang phải trên thiết bị iOS
3. Xác nhận hiển thị</t>
  </si>
  <si>
    <t>TC_111</t>
  </si>
  <si>
    <t>Xác nhận hiển thị của ứng dụng khi người dùng tắt và mở lại ứng dụng</t>
  </si>
  <si>
    <t>1. Mở ứng dụng
2. Người dùng tắt ứng dụng
3. Mở lại ứng dụng
4. Xác nhận hiển thị</t>
  </si>
  <si>
    <t>4. Ứng dụng mở lại từ trạng thái ban đầu</t>
  </si>
  <si>
    <t>TC_112</t>
  </si>
  <si>
    <t>Kiểm tra chế độ đa nhiệm (multitasking)</t>
  </si>
  <si>
    <t>1. Mở ứng dụng
2. Trở về màn hình chính (không tắt ứng dụng)
3. Mở lại ứng dụng
4. Xác nhận hiển thị</t>
  </si>
  <si>
    <t>4. Ứng dụng giữ nguyên ở trạng thái hiện tại</t>
  </si>
  <si>
    <t>TC_113</t>
  </si>
  <si>
    <t>Xác nhận hiển thị của ứng dụng khi người dùng khóa và mở khóa màn hình thiết bị</t>
  </si>
  <si>
    <t>1. Mở ứng dụng
2. Khóa thiết bị
3. Mở khóa thiết bị
4. Xác nhận hiển thị</t>
  </si>
  <si>
    <t>4. Giữ nguyên trạng thái hiện tại của ứng dụng</t>
  </si>
  <si>
    <t>TC_114</t>
  </si>
  <si>
    <t>Kiểm tra hành động kéo xuống để làm mới (pull-to-refresh)</t>
  </si>
  <si>
    <t>Tiền điều kiện: Màn hình hỗ trợ tính năng kéo để làm mới</t>
  </si>
  <si>
    <t>1. Người dùng ở màn hình hiện tại
2. Kéo xuống để làm mới</t>
  </si>
  <si>
    <t>2. Hiển thị dữ liệu mới nhất của màn hình</t>
  </si>
  <si>
    <t>TC_115</t>
  </si>
  <si>
    <t>Kiểm tra hành động cuộn xuống để tải thêm (scroll-down-to-load-more)</t>
  </si>
  <si>
    <t>Tiền điều kiện: Màn hình hỗ trợ tính năng cuộn xuống để tải thêm</t>
  </si>
  <si>
    <t>1. Người dùng cuộn xuống cuối danh sách</t>
  </si>
  <si>
    <t>2. Hiển thị thêm dữ liệu mới</t>
  </si>
  <si>
    <t>TC_116</t>
  </si>
  <si>
    <t>Kiểm tra phản hồi của ứng dụng khi thiết bị nhận được thông báo từ ứng dụng khác</t>
  </si>
  <si>
    <t>Tiền điều kiện: Ứng dụng khác được phép gửi thông báo</t>
  </si>
  <si>
    <t>1. Người dùng mở ứng dụng
2. Ứng dụng khác gửi thông báo
3. Xác nhận hiển thị</t>
  </si>
  <si>
    <t>3. Không có lỗi nào xảy ra</t>
  </si>
  <si>
    <t>2. Màn hình Chi tiết Lịch hẹn</t>
  </si>
  <si>
    <t>TC_117</t>
  </si>
  <si>
    <t>[Màn hình Chi tiết lịch hẹn] Kiểm tra UI/UX khi có đủ dữ liệu</t>
  </si>
  <si>
    <t>Đăng nhập, có ≥1 lịch hẹn có đầy đủ 5 section dữ liệu.</t>
  </si>
  <si>
    <t>1. Tap 1 card bất kỳ trên Danh sách.
2. Kiểm tra hiển thị Màn hình [Chi tiết lịch hẹn].</t>
  </si>
  <si>
    <t>2.
- Hiển thị đầy đủ các item, màu sắc, font chữ, layout giống Design
(Tham khảo ảnh "UC42-44. Chi tiết lịch hẹn" sheet WFDesign)
- Header đỏ: nút Back (←) trái, tiêu đề "Chi tiết lịch hẹn" trắng căn giữa.
- 5 Section theo thứ tự: (1) Thông tin thủ tục, (2) Thông tin người nộp, (3) Thông tin lịch hẹn, (4) Trạng thái, (5) Ghi chú.
- Toàn bộ read-only, không có CTA.</t>
  </si>
  <si>
    <t>TC_118</t>
  </si>
  <si>
    <t>[Màn hình Chi tiết lịch hẹn] Kiểm tra Loading state toàn màn hình khi first-load</t>
  </si>
  <si>
    <t>Tap 1 card đang trong quá trình chờ API chi tiết.</t>
  </si>
  <si>
    <t>1. Tap card.
2. Kiểm tra hiển thị trong khi chờ API trả dữ liệu chi tiết.</t>
  </si>
  <si>
    <t>2. Full-screen loading overlay hiển thị trên toàn vùng nội dung (AC17, CMR-07); sau khi API trả → ẩn overlay.</t>
  </si>
  <si>
    <t>TC_119</t>
  </si>
  <si>
    <t>[Section 1 - Thông tin thủ tục] Kiểm tra hiển thị đủ 6 field</t>
  </si>
  <si>
    <t>Mở Chi tiết của lịch hẹn có đầy đủ dữ liệu.</t>
  </si>
  <si>
    <t>1. Kiểm tra hiển thị Section 1.</t>
  </si>
  <si>
    <t>1. Section 1 hiển thị đúng 6 field:
- Mã thủ tục
- Tên thủ tục
- Lĩnh vực
- Dịch vụ công
- Cơ quan thực hiện
- Đơn vị tiếp nhận
Tất cả read-only.</t>
  </si>
  <si>
    <t>TC_120</t>
  </si>
  <si>
    <t>[Section 2 - Thông tin người nộp] Kiểm tra hiển thị đủ 2 field</t>
  </si>
  <si>
    <t>Mở Chi tiết.</t>
  </si>
  <si>
    <t>1. Kiểm tra hiển thị Section 2.</t>
  </si>
  <si>
    <t>1. Section 2 hiển thị đúng 2 field: "Mã định danh" + "Tên người nộp"; đều read-only.</t>
  </si>
  <si>
    <t>TC_121</t>
  </si>
  <si>
    <t>[Section 3 - Thông tin lịch hẹn] Kiểm tra hiển thị đủ 4 field</t>
  </si>
  <si>
    <t>1. Kiểm tra hiển thị Section 3.</t>
  </si>
  <si>
    <t>1. Section 3 hiển thị đúng 4 field: Ngày hẹn nộp, Khung giờ hẹn nộp, Thời gian đặt, Ngày cán bộ hẹn nộp; đều read-only.</t>
  </si>
  <si>
    <t>TC_122</t>
  </si>
  <si>
    <t>[Section 4 - Trạng thái] Kiểm tra hiển thị Badge trạng thái</t>
  </si>
  <si>
    <t>1. Kiểm tra hiển thị Section 4.</t>
  </si>
  <si>
    <t>1. Section 4 hiển thị duy nhất 1 field "Trạng thái" dạng Badge; màu sắc follow UI design (CMR-05, AC6).</t>
  </si>
  <si>
    <t>TC_123</t>
  </si>
  <si>
    <t>[Section 5 - Ghi chú] Kiểm tra hiển thị "Ghi chú"</t>
  </si>
  <si>
    <t>Mở Chi tiết của lịch hẹn có nội dung ghi chú.</t>
  </si>
  <si>
    <t>1. Kiểm tra hiển thị Section 5.</t>
  </si>
  <si>
    <t>1. Section 5 hiển thị nội dung ghi chú dạng text; wrap text nếu dài, KHÔNG truncate.</t>
  </si>
  <si>
    <t>TC_124</t>
  </si>
  <si>
    <t>[Null handling] Kiểm tra các field null hiển thị "-"</t>
  </si>
  <si>
    <t>Mở Chi tiết của lịch hẹn có các field null (Mã thủ tục, Ngày hẹn nộp, Khung giờ hẹn nộp, Ngày cán bộ hẹn nộp, Ghi chú).</t>
  </si>
  <si>
    <t>1. Kiểm tra các field null trong Chi tiết.</t>
  </si>
  <si>
    <t>1. Các field null hiển thị "-" thay thế.</t>
  </si>
  <si>
    <t>TC_125</t>
  </si>
  <si>
    <t>[Wrap text] Kiểm tra field nội dung dài → wrap, KHÔNG truncate</t>
  </si>
  <si>
    <t>Có lịch hẹn với Tên thủ tục / Lĩnh vực / Cơ quan thực hiện / Ghi chú rất dài.</t>
  </si>
  <si>
    <t>1. Kiểm tra hiển thị các field dài trong Chi tiết.</t>
  </si>
  <si>
    <t>1. Text wrap xuống nhiều dòng; KHÔNG có dấu "..." (Section 2.2 — Quy tắc hiển thị chung).</t>
  </si>
  <si>
    <t>TC_126</t>
  </si>
  <si>
    <t>[Format ngày] Kiểm tra "Ngày hẹn nộp" hiển thị DD/MM/YYYY</t>
  </si>
  <si>
    <t>Lịch hẹn có Ngày hẹn nộp = 10/05/2026.</t>
  </si>
  <si>
    <t>1. Kiểm tra hiển thị field "Ngày hẹn nộp".</t>
  </si>
  <si>
    <t>1. Hiển thị đúng "10/05/2026" format DD/MM/YYYY (CMR-12).</t>
  </si>
  <si>
    <t>TC_127</t>
  </si>
  <si>
    <t>[Format giờ] Kiểm tra "Khung giờ hẹn nộp" format "HH:mm - HH:mm"</t>
  </si>
  <si>
    <t>Lịch hẹn có Khung giờ hẹn nộp = "08:00 - 09:00".</t>
  </si>
  <si>
    <t>1. Kiểm tra hiển thị field "Khung giờ hẹn nộp".</t>
  </si>
  <si>
    <t>1. Hiển thị "08:00 - 09:00" (24h, GMT+7, CMR-12); KHÔNG ở dạng "8h-9h" hay "08:00 AM - 09:00 AM".</t>
  </si>
  <si>
    <t>TC_128</t>
  </si>
  <si>
    <t>[Format ngày giờ] Kiểm tra "Thời gian đặt" hiển thị DD/MM/YYYY HH:mm</t>
  </si>
  <si>
    <t>Lịch hẹn có Thời gian đặt = "08/05/2026 14:30".</t>
  </si>
  <si>
    <t>1. Kiểm tra hiển thị field "Thời gian đặt".</t>
  </si>
  <si>
    <t>1. Hiển thị "08/05/2026 14:30" (24h, GMT+7, CMR-12).</t>
  </si>
  <si>
    <t>TC_129</t>
  </si>
  <si>
    <t>[Nút Back ←] Kiểm tra tap Back → quay về Danh sách</t>
  </si>
  <si>
    <t>Đang ở Chi tiết (navigate từ Danh sách).</t>
  </si>
  <si>
    <t>1. Tap nút [Back ←] trên Header Chi tiết.</t>
  </si>
  <si>
    <t>1. Đóng Chi tiết; quay về Màn hình [Danh sách lịch hẹn] (CMR-06).</t>
  </si>
  <si>
    <t>TC_130</t>
  </si>
  <si>
    <t>[Physical Back Android] Kiểm tra Physical Back từ Chi tiết → Danh sách</t>
  </si>
  <si>
    <t>Android, đang ở Chi tiết.</t>
  </si>
  <si>
    <t>1. Nhấn Physical Back button.</t>
  </si>
  <si>
    <t>1. Đóng Chi tiết; quay về Danh sách (giả định đồng nhất icon ← — Q6).</t>
  </si>
  <si>
    <t>TC_131</t>
  </si>
  <si>
    <t>[Data - Cá nhân] Kiểm tra "Mã định danh" hiển thị CCCD/CMND</t>
  </si>
  <si>
    <t>Đăng nhập tài khoản Cá nhân; mở Chi tiết 1 lịch hẹn của Cá nhân này.</t>
  </si>
  <si>
    <t>1. Kiểm tra Section 2 — field "Mã định danh".</t>
  </si>
  <si>
    <t>1. Hiển thị số CCCD/CMND đúng với dữ liệu API trả về (Section 2.2 Section 2).</t>
  </si>
  <si>
    <t>Role</t>
  </si>
  <si>
    <t>TC_132</t>
  </si>
  <si>
    <t>[Data - Tổ chức] Kiểm tra "Mã định danh" hiển thị Mã doanh nghiệp</t>
  </si>
  <si>
    <t>Đăng nhập tài khoản Tổ chức; mở Chi tiết 1 lịch hẹn của Tổ chức này.</t>
  </si>
  <si>
    <t>1. Hiển thị Mã doanh nghiệp đúng với dữ liệu API trả về.</t>
  </si>
  <si>
    <t>TC_133</t>
  </si>
  <si>
    <t>[Section 1] Kiểm tra dữ liệu Section 1 khớp 100% với API</t>
  </si>
  <si>
    <t>Mở Chi tiết 1 lịch hẹn X.</t>
  </si>
  <si>
    <t>1. So sánh 6 field Section 1 với response API chi tiết cho lịch hẹn X.</t>
  </si>
  <si>
    <t>1. Mã thủ tục / Tên thủ tục / Lĩnh vực / Dịch vụ công / Cơ quan thực hiện / Đơn vị tiếp nhận — khớp 100% với API (AC5).</t>
  </si>
  <si>
    <t>TC_134</t>
  </si>
  <si>
    <t>[Section 2] Kiểm tra dữ liệu Section 2 khớp 100% với API</t>
  </si>
  <si>
    <t>1. So sánh 2 field Section 2 với API.</t>
  </si>
  <si>
    <t>1. Mã định danh + Tên người nộp khớp 100% với API.</t>
  </si>
  <si>
    <t>TC_135</t>
  </si>
  <si>
    <t>[Section 3] Kiểm tra dữ liệu Section 3 khớp 100% với API</t>
  </si>
  <si>
    <t>1. So sánh 4 field Section 3 với API.</t>
  </si>
  <si>
    <t>1. Ngày hẹn nộp + Khung giờ + Thời gian đặt + Ngày cán bộ hẹn nộp khớp 100% với API; đúng format CMR-12.</t>
  </si>
  <si>
    <t>TC_136</t>
  </si>
  <si>
    <t>[Consistency] Kiểm tra "Thời gian đặt" trên Chi tiết khớp 100% với card</t>
  </si>
  <si>
    <t>Đang ở Danh sách, ghi nhận "Thời gian đặt" trên card X.</t>
  </si>
  <si>
    <t>1. Tap card X.
2. Kiểm tra field "Thời gian đặt" trên Chi tiết.</t>
  </si>
  <si>
    <t>2. Giá trị "Thời gian đặt" trên Chi tiết KHỚP 100% với trên card (cùng format DD/MM/YYYY HH:mm) — AC5.</t>
  </si>
  <si>
    <t>Integration</t>
  </si>
  <si>
    <t>TC_137</t>
  </si>
  <si>
    <t>[Badge] Kiểm tra Badge read-only trong Chi tiết (không tap được)</t>
  </si>
  <si>
    <t>Đang ở Chi tiết.</t>
  </si>
  <si>
    <t>1. Tap vào vùng Badge Section 4.</t>
  </si>
  <si>
    <t>1. Không có phản hồi (không mở menu, không toast); Badge read-only thuần (AC6).</t>
  </si>
  <si>
    <t>TC_138</t>
  </si>
  <si>
    <t>[Read-only scope] Kiểm tra toàn bộ Chi tiết read-only, không có CTA</t>
  </si>
  <si>
    <t>1. Quan sát toàn màn.</t>
  </si>
  <si>
    <t>1. Không có nút "Hủy lịch" / "Chỉnh sửa" / "Tạo mới" / bất kỳ CTA nào; chỉ có nút Back và gesture pull-to-refresh (Section 1 Out of scope + Section 2.2).</t>
  </si>
  <si>
    <t>TC_139</t>
  </si>
  <si>
    <t>[Copy-to-clipboard] Kiểm tra field read-only không hỗ trợ copy</t>
  </si>
  <si>
    <t>1. Long-press/tap và giữ vào field bất kỳ (ví dụ Mã thủ tục).</t>
  </si>
  <si>
    <t>1. Không hiện menu copy-to-clipboard (giả định Q20).</t>
  </si>
  <si>
    <t>TC_140</t>
  </si>
  <si>
    <t>[Pull to refresh] Kiểm tra pull-to-refresh trên Chi tiết → refresh dữ liệu</t>
  </si>
  <si>
    <t>1. Kéo xuống từ đầu màn.
2. Quan sát hiển thị.</t>
  </si>
  <si>
    <t>2.
- Spinner hiển thị ở đầu màn.
- App gọi API chi tiết.
- Cập nhật 5 section.
- Ẩn spinner (AC12, CMR-13).</t>
  </si>
  <si>
    <t>TC_141</t>
  </si>
  <si>
    <t>[Error] Kiểm tra mất mạng (Chi tiết) → message + Thử lại</t>
  </si>
  <si>
    <t>Tắt mạng.</t>
  </si>
  <si>
    <t>1. Tap 1 card.
2. Quan sát hiển thị trên Chi tiết.</t>
  </si>
  <si>
    <t>2. "Không thể kết nối. Vui lòng kiểm tra mạng và thử lại." kèm nút "Thử lại" (CMR-07).</t>
  </si>
  <si>
    <t>TC_142</t>
  </si>
  <si>
    <t>[Error] Kiểm tra lỗi 500 (Chi tiết) → không có Thử lại</t>
  </si>
  <si>
    <t>Simulate API chi tiết trả 500.</t>
  </si>
  <si>
    <t>1. Tap 1 card.</t>
  </si>
  <si>
    <t>1. Hiển thị "Hệ thống đang bận. Vui lòng thử lại sau." — KHÔNG có nút Thử lại.</t>
  </si>
  <si>
    <t>TC_143</t>
  </si>
  <si>
    <t>[Error] Kiểm tra HTTP 404 lịch hẹn không tồn tại → toast + back về Danh sách</t>
  </si>
  <si>
    <t>Simulate API chi tiết trả HTTP 404 (record bị xóa).</t>
  </si>
  <si>
    <t>1. Hiển thị "Nội dung không tồn tại hoặc đã bị xóa." → app tự quay về Danh sách.</t>
  </si>
  <si>
    <t>TC_144</t>
  </si>
  <si>
    <t>[Error] Kiểm tra timeout &gt; 10s (Chi tiết) → message + Thử lại</t>
  </si>
  <si>
    <t>Simulate API chi tiết mất &gt; 10s.</t>
  </si>
  <si>
    <t>1. Tap 1 card.
2. Chờ qua 10s.</t>
  </si>
  <si>
    <t>TC_145</t>
  </si>
  <si>
    <t>[Error 401] Kiểm tra 401 + refresh expired trên Chi tiết → redirect login</t>
  </si>
  <si>
    <t>Đang ở Chi tiết; simulate token expired.</t>
  </si>
  <si>
    <t>1. Pull-to-refresh trên Chi tiết.</t>
  </si>
  <si>
    <t>1. Toast "Phiên đăng nhập hết hạn."; redirect về màn [Đăng nhập] (AC16).</t>
  </si>
  <si>
    <t>TC_146</t>
  </si>
  <si>
    <t>[i18n Chi tiết] Kiểm tra text cứng label 5 section đổi theo ngôn ngữ</t>
  </si>
  <si>
    <t>Đang ở Chi tiết ngôn ngữ VI.</t>
  </si>
  <si>
    <t>1. Đổi ngôn ngữ sang EN.
2. Quay lại Chi tiết.</t>
  </si>
  <si>
    <t>2.
- Label các field ("Mã thủ tục", "Tên thủ tục", "Lĩnh vực", ...) đổi sang EN.
- Text động từ API (giá trị Tên thủ tục, Lĩnh vực, Ghi chú, v.v.) giữ nguyên ngôn ngữ gốc (AC20, CMR-17).</t>
  </si>
  <si>
    <t>TC_147</t>
  </si>
  <si>
    <t>[A11y] Kiểm tra Screen reader đọc được 5 section trong Chi tiết</t>
  </si>
  <si>
    <t>Bật screen reader.</t>
  </si>
  <si>
    <t>1. Mở Chi tiết.
2. Vuốt/điều hướng qua 5 section.</t>
  </si>
  <si>
    <t>2. Mỗi field (label + giá trị) được đọc đầy đủ (AC21).</t>
  </si>
  <si>
    <t>TC_148</t>
  </si>
  <si>
    <t>TC_149</t>
  </si>
  <si>
    <t>TC_150</t>
  </si>
  <si>
    <t>TC_151</t>
  </si>
  <si>
    <t>TC_152</t>
  </si>
  <si>
    <t>TC_153</t>
  </si>
  <si>
    <t>TC_154</t>
  </si>
  <si>
    <t>TC_155</t>
  </si>
  <si>
    <t>TC_156</t>
  </si>
  <si>
    <t>TC_157</t>
  </si>
  <si>
    <t>TC_158</t>
  </si>
  <si>
    <t>TC_159</t>
  </si>
  <si>
    <t>TC_160</t>
  </si>
  <si>
    <t>TC_161</t>
  </si>
  <si>
    <t>1. Người dùng ở màn Chi tiết
2. Kéo xuống để làm mới</t>
  </si>
  <si>
    <t>2. Hiển thị dữ liệu chi tiết mới nhất</t>
  </si>
  <si>
    <t>TC_162</t>
  </si>
  <si>
    <t>N/A - Màn Chi tiết không hỗ trợ lazy load (chỉ Danh sách hỗ trợ).</t>
  </si>
  <si>
    <t>TC_163</t>
  </si>
  <si>
    <t>1. Mở Chi tiết
2. Ứng dụng khác gửi thông báo
3. Xác nhận hiển thị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</si>
  <si>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</si>
  <si>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</si>
  <si>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</si>
  <si>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</si>
  <si>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</si>
  <si>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</si>
  <si>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</si>
  <si>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</si>
  <si>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</si>
  <si>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</si>
  <si>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</si>
  <si>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</si>
  <si>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</si>
  <si>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</si>
  <si>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</si>
  <si>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</si>
  <si>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</si>
  <si>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</si>
  <si>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</si>
  <si>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</si>
  <si>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</si>
  <si>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</si>
  <si>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</si>
  <si>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</si>
  <si>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</si>
  <si>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</si>
  <si>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</si>
  <si>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</si>
  <si>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</si>
  <si>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</si>
  <si>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</si>
  <si>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</si>
  <si>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</si>
  <si>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</si>
  <si>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</si>
  <si>
    <t>1. Tài khoản cá nhân</t>
  </si>
  <si>
    <t>2. Thông tin định danh</t>
  </si>
  <si>
    <t>3. Thông tin khác</t>
  </si>
  <si>
    <t xml:space="preserve">4. Đăng ký </t>
  </si>
  <si>
    <t xml:space="preserve">5. Đăng ký tài khoản cá nhân - Việt Nam </t>
  </si>
  <si>
    <t>6. Tổ chức / Doanh nghiệp</t>
  </si>
  <si>
    <t>7. Đăng ký tài khoản cá nhân - Nước ngoài</t>
  </si>
  <si>
    <t>8. Quên mật khẩu</t>
  </si>
  <si>
    <t xml:space="preserve">9. Đặt lại mật khẩu </t>
  </si>
  <si>
    <t>10. Cấu hình tài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</si>
</sst>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[$-409]d\-mmm\-yy"/>
  </numFmts>
  <fonts count="3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36"/>
      <color theme="1"/>
      <name val="Times New Roman"/>
    </font>
    <font>
      <b/>
      <sz val="21"/>
      <color theme="1"/>
      <name val="Times New Roman"/>
    </font>
    <font>
      <sz val="9"/>
      <color theme="1"/>
      <name val="Times New Roman"/>
    </font>
    <font>
      <b/>
      <i/>
      <sz val="9"/>
      <color theme="1"/>
      <name val="Times New Roman"/>
    </font>
    <font>
      <u/>
      <sz val="11"/>
      <color rgb="FF0000FF"/>
      <name val="Times New Roman"/>
    </font>
    <font>
      <sz val="10"/>
      <color theme="1"/>
      <name val="Times New Roman"/>
    </font>
    <font>
      <b/>
      <sz val="26"/>
      <color theme="1"/>
      <name val="Times New Roman"/>
    </font>
    <font>
      <b/>
      <sz val="10"/>
      <color theme="1"/>
      <name val="Times New Roman"/>
    </font>
    <font>
      <sz val="10"/>
      <color theme="1"/>
      <name val="Arial"/>
    </font>
    <font>
      <sz val="10"/>
      <color theme="1"/>
      <name val="Times New Roman"/>
    </font>
    <font>
      <b/>
      <sz val="26"/>
      <color rgb="FF000000"/>
      <name val="Times New Roman"/>
    </font>
    <font>
      <sz val="10"/>
      <color theme="1"/>
      <name val="Arial"/>
      <scheme val="minor"/>
    </font>
    <font>
      <sz val="11"/>
      <color rgb="FF000000"/>
      <name val="Arial"/>
    </font>
    <font>
      <b/>
      <sz val="14"/>
      <color rgb="FF000000"/>
      <name val="Times New Roman"/>
    </font>
    <font>
      <b/>
      <sz val="14"/>
      <color rgb="FFFFFFFF"/>
      <name val="Times New Roman"/>
    </font>
    <font>
      <sz val="14"/>
      <color rgb="FF000000"/>
      <name val="Times New Roman"/>
    </font>
    <font>
      <sz val="10"/>
      <color rgb="FF000000"/>
      <name val="Arial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8"/>
      <color rgb="FF000000"/>
      <name val="Times New Roman"/>
    </font>
    <font>
      <b/>
      <sz val="20"/>
      <color rgb="FF000000"/>
      <name val="Times New Roman"/>
    </font>
    <font>
      <sz val="12"/>
      <color rgb="FF000000"/>
      <name val="Times New Roman"/>
    </font>
    <font>
      <sz val="10"/>
      <color theme="1"/>
      <name val="Arial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3F3F3F"/>
        <bgColor rgb="FF3F3F3F"/>
      </patternFill>
    </fill>
    <fill>
      <patternFill patternType="solid">
        <fgColor rgb="FFCCFFCC"/>
        <bgColor rgb="FFCCFFC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3FAFD"/>
        <bgColor rgb="FFE3FAFD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5"/>
  </cellStyleXfs>
  <cellXfs count="179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5" xfId="0" applyFont="1" applyFill="1"/>
    <xf numFmtId="0" fontId="1" fillId="2" borderId="4" xfId="0" applyFont="1" applyFill="1" applyBorder="1"/>
    <xf numFmtId="0" fontId="1" fillId="0" borderId="3" xfId="0" applyFont="1" applyBorder="1"/>
    <xf numFmtId="0" fontId="9" fillId="3" borderId="8" xfId="0" applyFont="1" applyFill="1" applyBorder="1" applyAlignment="1">
      <alignment horizontal="center" wrapText="1"/>
    </xf>
    <xf numFmtId="10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10" fontId="7" fillId="3" borderId="8" xfId="0" applyNumberFormat="1" applyFont="1" applyFill="1" applyBorder="1" applyAlignment="1">
      <alignment horizontal="center"/>
    </xf>
    <xf numFmtId="0" fontId="7" fillId="2" borderId="0" xfId="0" applyFont="1" applyFill="1" applyBorder="1"/>
    <xf numFmtId="0" fontId="7" fillId="0" borderId="0" xfId="0" applyFont="1" applyBorder="1" applyAlignment="1">
      <alignment vertical="top"/>
    </xf>
    <xf numFmtId="0" fontId="7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3" fontId="7" fillId="0" borderId="8" xfId="0" applyNumberFormat="1" applyFont="1" applyBorder="1" applyAlignment="1">
      <alignment horizontal="center" vertical="top" wrapText="1"/>
    </xf>
    <xf numFmtId="0" fontId="10" fillId="0" borderId="0" xfId="0" applyFont="1" applyBorder="1" applyAlignment="1">
      <alignment vertical="top"/>
    </xf>
    <xf numFmtId="0" fontId="11" fillId="0" borderId="8" xfId="0" applyFont="1" applyBorder="1" applyAlignment="1">
      <alignment horizontal="center" vertical="top"/>
    </xf>
    <xf numFmtId="0" fontId="11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3" fontId="11" fillId="0" borderId="8" xfId="0" applyNumberFormat="1" applyFont="1" applyBorder="1" applyAlignment="1">
      <alignment horizontal="center" vertical="top" wrapText="1"/>
    </xf>
    <xf numFmtId="0" fontId="7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14" fontId="16" fillId="6" borderId="17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14" fontId="17" fillId="2" borderId="21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vertical="center" wrapText="1"/>
    </xf>
    <xf numFmtId="0" fontId="17" fillId="2" borderId="21" xfId="0" applyFont="1" applyFill="1" applyBorder="1" applyAlignment="1">
      <alignment horizontal="center" vertical="center"/>
    </xf>
    <xf numFmtId="14" fontId="18" fillId="0" borderId="0" xfId="0" applyNumberFormat="1" applyFont="1" applyBorder="1" applyAlignment="1">
      <alignment vertical="center"/>
    </xf>
    <xf numFmtId="0" fontId="21" fillId="0" borderId="25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6" xfId="0" applyFont="1" applyBorder="1" applyAlignment="1">
      <alignment horizontal="left"/>
    </xf>
    <xf numFmtId="0" fontId="20" fillId="0" borderId="26" xfId="0" applyFont="1" applyBorder="1" applyAlignment="1">
      <alignment horizontal="left" wrapText="1"/>
    </xf>
    <xf numFmtId="0" fontId="20" fillId="0" borderId="27" xfId="0" applyFont="1" applyBorder="1" applyAlignment="1">
      <alignment horizontal="left"/>
    </xf>
    <xf numFmtId="0" fontId="20" fillId="0" borderId="27" xfId="0" applyFont="1" applyBorder="1" applyAlignment="1">
      <alignment horizontal="left" wrapText="1"/>
    </xf>
    <xf numFmtId="0" fontId="20" fillId="0" borderId="27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left"/>
    </xf>
    <xf numFmtId="0" fontId="20" fillId="0" borderId="29" xfId="0" applyFont="1" applyBorder="1" applyAlignment="1">
      <alignment horizontal="left" wrapText="1"/>
    </xf>
    <xf numFmtId="0" fontId="20" fillId="0" borderId="29" xfId="0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0" fontId="20" fillId="0" borderId="25" xfId="0" applyFont="1" applyBorder="1" applyAlignment="1">
      <alignment horizontal="center"/>
    </xf>
    <xf numFmtId="0" fontId="19" fillId="10" borderId="21" xfId="0" applyFont="1" applyFill="1" applyBorder="1" applyAlignment="1">
      <alignment horizontal="center"/>
    </xf>
    <xf numFmtId="0" fontId="19" fillId="10" borderId="21" xfId="0" applyFont="1" applyFill="1" applyBorder="1" applyAlignment="1">
      <alignment horizontal="left"/>
    </xf>
    <xf numFmtId="0" fontId="19" fillId="4" borderId="32" xfId="0" applyFont="1" applyFill="1" applyBorder="1" applyAlignment="1">
      <alignment horizontal="center"/>
    </xf>
    <xf numFmtId="0" fontId="19" fillId="4" borderId="21" xfId="0" applyFont="1" applyFill="1" applyBorder="1" applyAlignment="1">
      <alignment horizontal="left"/>
    </xf>
    <xf numFmtId="0" fontId="19" fillId="4" borderId="33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left" wrapText="1"/>
    </xf>
    <xf numFmtId="0" fontId="20" fillId="10" borderId="33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0" fontId="20" fillId="10" borderId="21" xfId="0" applyFont="1" applyFill="1" applyBorder="1" applyAlignment="1">
      <alignment horizontal="left"/>
    </xf>
    <xf numFmtId="0" fontId="20" fillId="10" borderId="21" xfId="0" applyFont="1" applyFill="1" applyBorder="1" applyAlignment="1">
      <alignment horizontal="center"/>
    </xf>
    <xf numFmtId="0" fontId="23" fillId="2" borderId="21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left"/>
    </xf>
    <xf numFmtId="0" fontId="20" fillId="2" borderId="21" xfId="0" applyFont="1" applyFill="1" applyBorder="1" applyAlignment="1">
      <alignment horizontal="left"/>
    </xf>
    <xf numFmtId="0" fontId="20" fillId="2" borderId="35" xfId="0" applyFont="1" applyFill="1" applyBorder="1" applyAlignment="1">
      <alignment horizontal="center"/>
    </xf>
    <xf numFmtId="0" fontId="20" fillId="0" borderId="21" xfId="0" applyFont="1" applyBorder="1" applyAlignment="1">
      <alignment horizontal="left" wrapText="1"/>
    </xf>
    <xf numFmtId="0" fontId="23" fillId="10" borderId="21" xfId="0" applyFont="1" applyFill="1" applyBorder="1" applyAlignment="1">
      <alignment horizontal="left"/>
    </xf>
    <xf numFmtId="0" fontId="20" fillId="0" borderId="21" xfId="0" applyFont="1" applyBorder="1" applyAlignment="1">
      <alignment horizontal="center"/>
    </xf>
    <xf numFmtId="0" fontId="20" fillId="0" borderId="21" xfId="0" applyFont="1" applyBorder="1" applyAlignment="1">
      <alignment horizontal="left"/>
    </xf>
    <xf numFmtId="0" fontId="20" fillId="0" borderId="3" xfId="0" applyFont="1" applyBorder="1" applyAlignment="1">
      <alignment horizontal="center"/>
    </xf>
    <xf numFmtId="0" fontId="20" fillId="0" borderId="36" xfId="0" applyFont="1" applyBorder="1" applyAlignment="1">
      <alignment horizontal="center"/>
    </xf>
    <xf numFmtId="0" fontId="20" fillId="0" borderId="36" xfId="0" applyFont="1" applyBorder="1" applyAlignment="1">
      <alignment horizontal="left"/>
    </xf>
    <xf numFmtId="0" fontId="20" fillId="0" borderId="36" xfId="0" applyFont="1" applyBorder="1" applyAlignment="1">
      <alignment horizontal="left" wrapText="1"/>
    </xf>
    <xf numFmtId="0" fontId="20" fillId="0" borderId="3" xfId="0" applyFont="1" applyBorder="1" applyAlignment="1">
      <alignment horizontal="left"/>
    </xf>
    <xf numFmtId="0" fontId="20" fillId="0" borderId="3" xfId="0" applyFont="1" applyBorder="1" applyAlignment="1">
      <alignment horizontal="left" wrapText="1"/>
    </xf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 wrapText="1"/>
    </xf>
    <xf numFmtId="0" fontId="24" fillId="0" borderId="0" xfId="0" applyFont="1" applyBorder="1" applyAlignment="1">
      <alignment horizontal="left"/>
    </xf>
    <xf numFmtId="0" fontId="24" fillId="0" borderId="0" xfId="0" applyFont="1" applyBorder="1" applyAlignment="1">
      <alignment wrapText="1"/>
    </xf>
    <xf numFmtId="0" fontId="24" fillId="0" borderId="0" xfId="0" applyFont="1" applyBorder="1" applyAlignment="1">
      <alignment horizontal="center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/>
    <xf numFmtId="0" fontId="18" fillId="0" borderId="0" xfId="0" applyFont="1" applyBorder="1" applyAlignment="1">
      <alignment wrapText="1"/>
    </xf>
    <xf numFmtId="0" fontId="18" fillId="0" borderId="0" xfId="0" applyFont="1" applyBorder="1" applyAlignment="1">
      <alignment horizontal="left" wrapText="1"/>
    </xf>
    <xf numFmtId="0" fontId="13" fillId="0" borderId="0" xfId="0" applyFont="1" applyBorder="1"/>
    <xf numFmtId="0" fontId="0" fillId="0" borderId="0" xfId="0" applyBorder="1"/>
    <xf numFmtId="0" fontId="4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wrapText="1"/>
    </xf>
    <xf numFmtId="0" fontId="20" fillId="0" borderId="0" xfId="0" applyFont="1" applyBorder="1" applyAlignment="1">
      <alignment horizontal="center"/>
    </xf>
    <xf numFmtId="164" fontId="7" fillId="0" borderId="8" xfId="0" applyNumberFormat="1" applyFont="1" applyBorder="1" applyAlignment="1">
      <alignment vertical="top"/>
    </xf>
    <xf numFmtId="164" fontId="10" fillId="0" borderId="8" xfId="0" applyNumberFormat="1" applyFont="1" applyBorder="1" applyAlignment="1">
      <alignment vertical="top"/>
    </xf>
    <xf numFmtId="164" fontId="20" fillId="2" borderId="21" xfId="0" applyNumberFormat="1" applyFont="1" applyFill="1" applyBorder="1" applyAlignment="1">
      <alignment horizontal="left"/>
    </xf>
    <xf numFmtId="164" fontId="20" fillId="10" borderId="21" xfId="0" applyNumberFormat="1" applyFont="1" applyFill="1" applyBorder="1" applyAlignment="1">
      <alignment horizontal="left"/>
    </xf>
    <xf numFmtId="165" fontId="5" fillId="2" borderId="5" xfId="0" applyNumberFormat="1" applyFont="1" applyFill="1" applyAlignment="1">
      <alignment horizontal="left" wrapText="1"/>
    </xf>
    <xf numFmtId="0" fontId="0" fillId="0" borderId="0" xfId="0" applyBorder="1"/>
    <xf numFmtId="0" fontId="4" fillId="3" borderId="5" xfId="0" applyFont="1" applyFill="1" applyAlignment="1">
      <alignment wrapText="1"/>
    </xf>
    <xf numFmtId="0" fontId="5" fillId="2" borderId="5" xfId="0" applyFont="1" applyFill="1" applyAlignment="1">
      <alignment horizontal="left" wrapText="1"/>
    </xf>
    <xf numFmtId="0" fontId="3" fillId="3" borderId="5" xfId="0" applyFont="1" applyFill="1" applyAlignment="1">
      <alignment horizontal="center" wrapText="1"/>
    </xf>
    <xf numFmtId="0" fontId="5" fillId="2" borderId="5" xfId="0" applyFont="1" applyFill="1" applyAlignment="1">
      <alignment wrapText="1"/>
    </xf>
    <xf numFmtId="0" fontId="6" fillId="2" borderId="5" xfId="0" applyFont="1" applyFill="1"/>
    <xf numFmtId="0" fontId="2" fillId="3" borderId="5" xfId="0" applyFont="1" applyFill="1" applyAlignment="1">
      <alignment horizontal="center" wrapText="1"/>
    </xf>
    <xf numFmtId="165" fontId="1" fillId="2" borderId="5" xfId="0" applyNumberFormat="1" applyFont="1" applyFill="1"/>
    <xf numFmtId="0" fontId="9" fillId="3" borderId="8" xfId="0" applyFont="1" applyFill="1" applyBorder="1" applyAlignment="1">
      <alignment vertical="top" wrapText="1"/>
    </xf>
    <xf numFmtId="0" fontId="0" fillId="0" borderId="14" xfId="0" applyBorder="1"/>
    <xf numFmtId="0" fontId="0" fillId="0" borderId="15" xfId="0" applyBorder="1"/>
    <xf numFmtId="0" fontId="9" fillId="4" borderId="8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4" borderId="8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vertical="top"/>
    </xf>
    <xf numFmtId="0" fontId="9" fillId="3" borderId="8" xfId="0" applyFont="1" applyFill="1" applyBorder="1" applyAlignment="1">
      <alignment horizontal="center" vertical="top"/>
    </xf>
    <xf numFmtId="14" fontId="12" fillId="0" borderId="5" xfId="0" applyNumberFormat="1" applyFont="1" applyAlignment="1">
      <alignment horizontal="center" vertical="center"/>
    </xf>
    <xf numFmtId="14" fontId="15" fillId="5" borderId="35" xfId="0" applyNumberFormat="1" applyFont="1" applyFill="1" applyBorder="1" applyAlignment="1">
      <alignment horizontal="center" vertical="center"/>
    </xf>
    <xf numFmtId="0" fontId="0" fillId="0" borderId="16" xfId="0" applyBorder="1"/>
    <xf numFmtId="14" fontId="14" fillId="0" borderId="5" xfId="0" applyNumberFormat="1" applyFont="1" applyAlignment="1">
      <alignment horizontal="center" vertical="center"/>
    </xf>
    <xf numFmtId="0" fontId="0" fillId="0" borderId="23" xfId="0" applyBorder="1"/>
    <xf numFmtId="0" fontId="0" fillId="0" borderId="33" xfId="0" applyBorder="1"/>
    <xf numFmtId="0" fontId="19" fillId="4" borderId="24" xfId="0" applyFont="1" applyFill="1" applyBorder="1" applyAlignment="1">
      <alignment horizontal="center"/>
    </xf>
    <xf numFmtId="0" fontId="20" fillId="2" borderId="24" xfId="0" applyFont="1" applyFill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20" fillId="2" borderId="21" xfId="0" applyFont="1" applyFill="1" applyBorder="1" applyAlignment="1">
      <alignment horizontal="center" vertical="center"/>
    </xf>
    <xf numFmtId="0" fontId="20" fillId="0" borderId="5" xfId="0" applyFont="1" applyAlignment="1">
      <alignment horizontal="center"/>
    </xf>
    <xf numFmtId="164" fontId="20" fillId="0" borderId="34" xfId="0" applyNumberFormat="1" applyFont="1" applyBorder="1" applyAlignment="1">
      <alignment horizontal="center"/>
    </xf>
    <xf numFmtId="0" fontId="0" fillId="0" borderId="34" xfId="0" applyBorder="1"/>
    <xf numFmtId="0" fontId="19" fillId="4" borderId="35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left"/>
    </xf>
    <xf numFmtId="0" fontId="19" fillId="4" borderId="24" xfId="0" applyFont="1" applyFill="1" applyBorder="1" applyAlignment="1">
      <alignment horizontal="left" wrapText="1"/>
    </xf>
    <xf numFmtId="0" fontId="19" fillId="10" borderId="30" xfId="0" applyFont="1" applyFill="1" applyBorder="1" applyAlignment="1">
      <alignment horizontal="center"/>
    </xf>
    <xf numFmtId="0" fontId="0" fillId="0" borderId="31" xfId="0" applyBorder="1"/>
    <xf numFmtId="0" fontId="19" fillId="4" borderId="24" xfId="0" applyFont="1" applyFill="1" applyBorder="1" applyAlignment="1">
      <alignment horizontal="left"/>
    </xf>
    <xf numFmtId="0" fontId="25" fillId="3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left" vertical="center" wrapText="1"/>
    </xf>
    <xf numFmtId="0" fontId="26" fillId="0" borderId="22" xfId="0" applyFont="1" applyBorder="1"/>
    <xf numFmtId="0" fontId="26" fillId="0" borderId="16" xfId="0" applyFont="1" applyBorder="1"/>
    <xf numFmtId="0" fontId="27" fillId="3" borderId="21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28" fillId="7" borderId="21" xfId="0" applyFont="1" applyFill="1" applyBorder="1" applyAlignment="1">
      <alignment horizontal="center" vertical="center" wrapText="1"/>
    </xf>
    <xf numFmtId="49" fontId="28" fillId="3" borderId="21" xfId="0" applyNumberFormat="1" applyFont="1" applyFill="1" applyBorder="1" applyAlignment="1">
      <alignment horizontal="center" vertical="center" wrapText="1"/>
    </xf>
    <xf numFmtId="49" fontId="28" fillId="7" borderId="21" xfId="0" applyNumberFormat="1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6" fillId="0" borderId="0" xfId="0" applyFont="1" applyBorder="1"/>
    <xf numFmtId="0" fontId="26" fillId="0" borderId="23" xfId="0" applyFont="1" applyBorder="1"/>
    <xf numFmtId="14" fontId="25" fillId="0" borderId="21" xfId="0" applyNumberFormat="1" applyFont="1" applyBorder="1" applyAlignment="1">
      <alignment horizontal="left" vertical="center" wrapText="1"/>
    </xf>
    <xf numFmtId="0" fontId="26" fillId="0" borderId="33" xfId="0" applyFont="1" applyBorder="1"/>
    <xf numFmtId="0" fontId="25" fillId="3" borderId="21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 wrapText="1"/>
    </xf>
    <xf numFmtId="0" fontId="27" fillId="4" borderId="21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0" fontId="27" fillId="8" borderId="21" xfId="0" applyFont="1" applyFill="1" applyBorder="1" applyAlignment="1">
      <alignment horizontal="center" vertical="center"/>
    </xf>
    <xf numFmtId="0" fontId="29" fillId="9" borderId="21" xfId="0" applyFont="1" applyFill="1" applyBorder="1" applyAlignment="1">
      <alignment horizontal="left" vertical="center"/>
    </xf>
    <xf numFmtId="0" fontId="25" fillId="9" borderId="21" xfId="0" applyFont="1" applyFill="1" applyBorder="1" applyAlignment="1">
      <alignment horizontal="left" vertical="center" wrapText="1"/>
    </xf>
    <xf numFmtId="0" fontId="29" fillId="10" borderId="24" xfId="0" applyFont="1" applyFill="1" applyBorder="1" applyAlignment="1">
      <alignment horizontal="left" vertical="center"/>
    </xf>
    <xf numFmtId="0" fontId="25" fillId="10" borderId="24" xfId="0" applyFont="1" applyFill="1" applyBorder="1" applyAlignment="1">
      <alignment horizontal="left" vertical="center" wrapText="1"/>
    </xf>
    <xf numFmtId="0" fontId="26" fillId="0" borderId="31" xfId="0" applyFont="1" applyBorder="1"/>
    <xf numFmtId="0" fontId="26" fillId="0" borderId="37" xfId="0" applyFont="1" applyBorder="1"/>
    <xf numFmtId="0" fontId="29" fillId="0" borderId="38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26" fillId="0" borderId="38" xfId="0" applyFont="1" applyBorder="1" applyAlignment="1">
      <alignment vertical="center"/>
    </xf>
    <xf numFmtId="0" fontId="29" fillId="10" borderId="38" xfId="0" applyFont="1" applyFill="1" applyBorder="1" applyAlignment="1">
      <alignment horizontal="left" vertical="center"/>
    </xf>
    <xf numFmtId="0" fontId="25" fillId="10" borderId="38" xfId="0" applyFont="1" applyFill="1" applyBorder="1" applyAlignment="1">
      <alignment horizontal="left" vertical="center" wrapText="1"/>
    </xf>
    <xf numFmtId="0" fontId="26" fillId="0" borderId="38" xfId="0" applyFont="1" applyBorder="1" applyAlignment="1">
      <alignment vertical="center"/>
    </xf>
    <xf numFmtId="0" fontId="26" fillId="10" borderId="38" xfId="0" applyFont="1" applyFill="1" applyBorder="1" applyAlignment="1">
      <alignment vertical="center"/>
    </xf>
    <xf numFmtId="0" fontId="26" fillId="11" borderId="38" xfId="0" applyFont="1" applyFill="1" applyBorder="1" applyAlignment="1">
      <alignment vertical="center"/>
    </xf>
    <xf numFmtId="0" fontId="25" fillId="11" borderId="38" xfId="0" applyFont="1" applyFill="1" applyBorder="1" applyAlignment="1">
      <alignment horizontal="left" vertical="center" wrapText="1"/>
    </xf>
    <xf numFmtId="0" fontId="26" fillId="9" borderId="38" xfId="0" applyFont="1" applyFill="1" applyBorder="1" applyAlignment="1">
      <alignment vertical="center"/>
    </xf>
    <xf numFmtId="0" fontId="25" fillId="9" borderId="3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3</xdr:row>
      <xdr:rowOff>47625</xdr:rowOff>
    </xdr:from>
    <xdr:ext cx="2895600" cy="618172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1019175</xdr:colOff>
      <xdr:row>3</xdr:row>
      <xdr:rowOff>142875</xdr:rowOff>
    </xdr:from>
    <xdr:ext cx="2400300" cy="5848350"/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342900</xdr:colOff>
      <xdr:row>46</xdr:row>
      <xdr:rowOff>133350</xdr:rowOff>
    </xdr:from>
    <xdr:ext cx="3771900" cy="732472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114300</xdr:colOff>
      <xdr:row>90</xdr:row>
      <xdr:rowOff>161925</xdr:rowOff>
    </xdr:from>
    <xdr:ext cx="2571750" cy="6467475"/>
    <xdr:pic>
      <xdr:nvPicPr>
        <xdr:cNvPr id="5" name="image5.png" title="Imag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114300</xdr:colOff>
      <xdr:row>129</xdr:row>
      <xdr:rowOff>133350</xdr:rowOff>
    </xdr:from>
    <xdr:ext cx="3286125" cy="6581775"/>
    <xdr:pic>
      <xdr:nvPicPr>
        <xdr:cNvPr id="6" name="image12.png" title="Imag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169</xdr:row>
      <xdr:rowOff>142875</xdr:rowOff>
    </xdr:from>
    <xdr:ext cx="3238500" cy="6429375"/>
    <xdr:pic>
      <xdr:nvPicPr>
        <xdr:cNvPr id="7" name="image13.png" title="Imag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1457325</xdr:colOff>
      <xdr:row>170</xdr:row>
      <xdr:rowOff>19050</xdr:rowOff>
    </xdr:from>
    <xdr:ext cx="2457450" cy="7029450"/>
    <xdr:pic>
      <xdr:nvPicPr>
        <xdr:cNvPr id="8" name="image11.png" title="Ima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211</xdr:row>
      <xdr:rowOff>57150</xdr:rowOff>
    </xdr:from>
    <xdr:ext cx="2486025" cy="4838700"/>
    <xdr:pic>
      <xdr:nvPicPr>
        <xdr:cNvPr id="9" name="image8.png" title="Imag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638175</xdr:colOff>
      <xdr:row>211</xdr:row>
      <xdr:rowOff>104775</xdr:rowOff>
    </xdr:from>
    <xdr:ext cx="2476500" cy="7077075"/>
    <xdr:pic>
      <xdr:nvPicPr>
        <xdr:cNvPr id="10" name="image14.png" title="Imag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114300</xdr:colOff>
      <xdr:row>256</xdr:row>
      <xdr:rowOff>123825</xdr:rowOff>
    </xdr:from>
    <xdr:ext cx="2419350" cy="4857750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657225</xdr:colOff>
      <xdr:row>256</xdr:row>
      <xdr:rowOff>104775</xdr:rowOff>
    </xdr:from>
    <xdr:ext cx="2438400" cy="7000875"/>
    <xdr:pic>
      <xdr:nvPicPr>
        <xdr:cNvPr id="12" name="image10.png" title="Image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298</xdr:row>
      <xdr:rowOff>0</xdr:rowOff>
    </xdr:from>
    <xdr:ext cx="3114675" cy="6105525"/>
    <xdr:pic>
      <xdr:nvPicPr>
        <xdr:cNvPr id="13" name="image15.png" title="Imag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337</xdr:row>
      <xdr:rowOff>0</xdr:rowOff>
    </xdr:from>
    <xdr:ext cx="2876550" cy="5686425"/>
    <xdr:pic>
      <xdr:nvPicPr>
        <xdr:cNvPr id="14" name="image9.png" title="Image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371</xdr:row>
      <xdr:rowOff>114300</xdr:rowOff>
    </xdr:from>
    <xdr:ext cx="2600325" cy="6715125"/>
    <xdr:pic>
      <xdr:nvPicPr>
        <xdr:cNvPr id="15" name="image3.png" title="Imag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c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c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chung.v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48"/>
  <sheetViews>
    <sheetView workbookViewId="0"/>
  </sheetViews>
  <sheetFormatPr defaultColWidth="12.6640625" defaultRowHeight="15" customHeight="1" x14ac:dyDescent="0.25"/>
  <cols>
    <col min="1" max="1" width="4.6640625" style="86" customWidth="1"/>
    <col min="2" max="14" width="8.88671875" style="86" customWidth="1"/>
  </cols>
  <sheetData>
    <row r="1" spans="1:19" ht="13.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3"/>
      <c r="P1" s="3"/>
      <c r="Q1" s="3"/>
      <c r="R1" s="3"/>
      <c r="S1" s="3"/>
    </row>
    <row r="2" spans="1:19" ht="13.8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3"/>
      <c r="P2" s="3"/>
      <c r="Q2" s="3"/>
      <c r="R2" s="3"/>
      <c r="S2" s="3"/>
    </row>
    <row r="3" spans="1:19" ht="13.8" customHeigh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3"/>
      <c r="P3" s="3"/>
      <c r="Q3" s="3"/>
      <c r="R3" s="3"/>
      <c r="S3" s="3"/>
    </row>
    <row r="4" spans="1:19" ht="13.8" customHeight="1" x14ac:dyDescent="0.25">
      <c r="A4" s="1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3"/>
      <c r="P4" s="3"/>
      <c r="Q4" s="3"/>
      <c r="R4" s="3"/>
      <c r="S4" s="3"/>
    </row>
    <row r="5" spans="1:19" ht="13.8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3"/>
      <c r="P5" s="3"/>
      <c r="Q5" s="3"/>
      <c r="R5" s="3"/>
      <c r="S5" s="3"/>
    </row>
    <row r="6" spans="1:19" ht="18" customHeight="1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3"/>
      <c r="P6" s="3"/>
      <c r="Q6" s="3"/>
      <c r="R6" s="3"/>
      <c r="S6" s="3"/>
    </row>
    <row r="7" spans="1:19" ht="22.5" customHeight="1" x14ac:dyDescent="0.25">
      <c r="A7" s="1"/>
      <c r="B7" s="4"/>
      <c r="C7" s="4"/>
      <c r="D7" s="4"/>
      <c r="E7" s="102" t="s">
        <v>0</v>
      </c>
      <c r="F7" s="96"/>
      <c r="G7" s="96"/>
      <c r="H7" s="96"/>
      <c r="I7" s="96"/>
      <c r="J7" s="96"/>
      <c r="K7" s="96"/>
      <c r="L7" s="4"/>
      <c r="M7" s="4"/>
      <c r="N7" s="5"/>
      <c r="O7" s="3"/>
      <c r="P7" s="3"/>
      <c r="Q7" s="3"/>
      <c r="R7" s="3"/>
      <c r="S7" s="3"/>
    </row>
    <row r="8" spans="1:19" ht="13.8" customHeight="1" x14ac:dyDescent="0.25">
      <c r="A8" s="1"/>
      <c r="B8" s="4"/>
      <c r="C8" s="4"/>
      <c r="D8" s="4"/>
      <c r="E8" s="96"/>
      <c r="F8" s="96"/>
      <c r="G8" s="96"/>
      <c r="H8" s="96"/>
      <c r="I8" s="96"/>
      <c r="J8" s="96"/>
      <c r="K8" s="96"/>
      <c r="L8" s="4"/>
      <c r="M8" s="4"/>
      <c r="N8" s="5"/>
      <c r="O8" s="3"/>
      <c r="P8" s="3"/>
      <c r="Q8" s="3"/>
      <c r="R8" s="3"/>
      <c r="S8" s="3"/>
    </row>
    <row r="9" spans="1:19" ht="13.8" customHeight="1" x14ac:dyDescent="0.25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3"/>
      <c r="P9" s="3"/>
      <c r="Q9" s="3"/>
      <c r="R9" s="3"/>
      <c r="S9" s="3"/>
    </row>
    <row r="10" spans="1:19" ht="13.8" customHeight="1" x14ac:dyDescent="0.25">
      <c r="A10" s="1"/>
      <c r="B10" s="4"/>
      <c r="C10" s="4"/>
      <c r="D10" s="4"/>
      <c r="E10" s="99" t="s">
        <v>1</v>
      </c>
      <c r="F10" s="96"/>
      <c r="G10" s="96"/>
      <c r="H10" s="96"/>
      <c r="I10" s="96"/>
      <c r="J10" s="96"/>
      <c r="K10" s="96"/>
      <c r="L10" s="4"/>
      <c r="M10" s="4"/>
      <c r="N10" s="5"/>
      <c r="O10" s="3"/>
      <c r="P10" s="3"/>
      <c r="Q10" s="3"/>
      <c r="R10" s="3"/>
      <c r="S10" s="3"/>
    </row>
    <row r="11" spans="1:19" ht="13.8" customHeight="1" x14ac:dyDescent="0.25">
      <c r="A11" s="1"/>
      <c r="B11" s="4"/>
      <c r="C11" s="4"/>
      <c r="D11" s="4"/>
      <c r="E11" s="96"/>
      <c r="F11" s="96"/>
      <c r="G11" s="96"/>
      <c r="H11" s="96"/>
      <c r="I11" s="96"/>
      <c r="J11" s="96"/>
      <c r="K11" s="96"/>
      <c r="L11" s="4"/>
      <c r="M11" s="4"/>
      <c r="N11" s="5"/>
      <c r="O11" s="3"/>
      <c r="P11" s="3"/>
      <c r="Q11" s="3"/>
      <c r="R11" s="3"/>
      <c r="S11" s="3"/>
    </row>
    <row r="12" spans="1:19" ht="13.8" customHeight="1" x14ac:dyDescent="0.25">
      <c r="A12" s="1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3"/>
      <c r="P12" s="3"/>
      <c r="Q12" s="3"/>
      <c r="R12" s="3"/>
      <c r="S12" s="3"/>
    </row>
    <row r="13" spans="1:19" ht="13.8" customHeight="1" x14ac:dyDescent="0.25">
      <c r="A13" s="1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3"/>
      <c r="P13" s="3"/>
      <c r="Q13" s="3"/>
      <c r="R13" s="3"/>
      <c r="S13" s="3"/>
    </row>
    <row r="14" spans="1:19" ht="13.8" customHeight="1" x14ac:dyDescent="0.25">
      <c r="A14" s="1"/>
      <c r="B14" s="4"/>
      <c r="C14" s="97" t="s">
        <v>2</v>
      </c>
      <c r="D14" s="96"/>
      <c r="E14" s="98" t="s">
        <v>1</v>
      </c>
      <c r="F14" s="96"/>
      <c r="G14" s="96"/>
      <c r="H14" s="4"/>
      <c r="I14" s="97" t="s">
        <v>3</v>
      </c>
      <c r="J14" s="96"/>
      <c r="K14" s="100" t="s">
        <v>4</v>
      </c>
      <c r="L14" s="96"/>
      <c r="M14" s="96"/>
      <c r="N14" s="5"/>
      <c r="O14" s="3"/>
      <c r="P14" s="3"/>
      <c r="Q14" s="3"/>
      <c r="R14" s="3"/>
      <c r="S14" s="3"/>
    </row>
    <row r="15" spans="1:19" ht="13.8" customHeight="1" x14ac:dyDescent="0.25">
      <c r="A15" s="1"/>
      <c r="B15" s="4"/>
      <c r="C15" s="97" t="s">
        <v>5</v>
      </c>
      <c r="D15" s="96"/>
      <c r="E15" s="98" t="s">
        <v>1</v>
      </c>
      <c r="F15" s="96"/>
      <c r="G15" s="96"/>
      <c r="H15" s="4"/>
      <c r="I15" s="97" t="s">
        <v>6</v>
      </c>
      <c r="J15" s="96"/>
      <c r="K15" s="100" t="s">
        <v>7</v>
      </c>
      <c r="L15" s="96"/>
      <c r="M15" s="96"/>
      <c r="N15" s="5"/>
      <c r="O15" s="3"/>
      <c r="P15" s="3"/>
      <c r="Q15" s="3"/>
      <c r="R15" s="3"/>
      <c r="S15" s="3"/>
    </row>
    <row r="16" spans="1:19" ht="13.8" customHeight="1" x14ac:dyDescent="0.25">
      <c r="A16" s="1"/>
      <c r="B16" s="4"/>
      <c r="C16" s="87" t="s">
        <v>8</v>
      </c>
      <c r="D16" s="87"/>
      <c r="E16" s="88"/>
      <c r="F16" s="88"/>
      <c r="G16" s="88"/>
      <c r="H16" s="4"/>
      <c r="I16" s="97" t="s">
        <v>9</v>
      </c>
      <c r="J16" s="96"/>
      <c r="K16" s="89"/>
      <c r="L16" s="89"/>
      <c r="M16" s="89"/>
      <c r="N16" s="5"/>
      <c r="O16" s="3"/>
      <c r="P16" s="3"/>
      <c r="Q16" s="3"/>
      <c r="R16" s="3"/>
      <c r="S16" s="3"/>
    </row>
    <row r="17" spans="1:19" ht="13.8" customHeight="1" x14ac:dyDescent="0.25">
      <c r="A17" s="1"/>
      <c r="B17" s="4"/>
      <c r="C17" s="97" t="s">
        <v>10</v>
      </c>
      <c r="D17" s="96"/>
      <c r="E17" s="98" t="s">
        <v>11</v>
      </c>
      <c r="F17" s="96"/>
      <c r="G17" s="96"/>
      <c r="H17" s="4"/>
      <c r="I17" s="97" t="s">
        <v>12</v>
      </c>
      <c r="J17" s="96"/>
      <c r="K17" s="101" t="s">
        <v>13</v>
      </c>
      <c r="L17" s="96"/>
      <c r="M17" s="96"/>
      <c r="N17" s="5"/>
      <c r="O17" s="3"/>
      <c r="P17" s="3"/>
      <c r="Q17" s="3"/>
      <c r="R17" s="3"/>
      <c r="S17" s="3"/>
    </row>
    <row r="18" spans="1:19" ht="13.8" customHeight="1" x14ac:dyDescent="0.25">
      <c r="A18" s="1"/>
      <c r="B18" s="4"/>
      <c r="C18" s="97" t="s">
        <v>6</v>
      </c>
      <c r="D18" s="96"/>
      <c r="E18" s="98" t="s">
        <v>14</v>
      </c>
      <c r="F18" s="96"/>
      <c r="G18" s="96"/>
      <c r="H18" s="4"/>
      <c r="I18" s="97" t="s">
        <v>6</v>
      </c>
      <c r="J18" s="96"/>
      <c r="K18" s="100" t="s">
        <v>15</v>
      </c>
      <c r="L18" s="96"/>
      <c r="M18" s="96"/>
      <c r="N18" s="5"/>
      <c r="O18" s="3"/>
      <c r="P18" s="3"/>
      <c r="Q18" s="3"/>
      <c r="R18" s="3"/>
      <c r="S18" s="3"/>
    </row>
    <row r="19" spans="1:19" ht="13.8" customHeight="1" x14ac:dyDescent="0.25">
      <c r="A19" s="1"/>
      <c r="B19" s="4"/>
      <c r="C19" s="97" t="s">
        <v>16</v>
      </c>
      <c r="D19" s="96"/>
      <c r="E19" s="95">
        <v>46129</v>
      </c>
      <c r="F19" s="96"/>
      <c r="G19" s="96"/>
      <c r="H19" s="4"/>
      <c r="I19" s="97" t="s">
        <v>17</v>
      </c>
      <c r="J19" s="96"/>
      <c r="K19" s="100"/>
      <c r="L19" s="96"/>
      <c r="M19" s="96"/>
      <c r="N19" s="5"/>
      <c r="O19" s="3"/>
      <c r="P19" s="3"/>
      <c r="Q19" s="3"/>
      <c r="R19" s="3"/>
      <c r="S19" s="3"/>
    </row>
    <row r="20" spans="1:19" ht="13.8" customHeight="1" x14ac:dyDescent="0.25">
      <c r="A20" s="1"/>
      <c r="B20" s="4"/>
      <c r="C20" s="97" t="s">
        <v>18</v>
      </c>
      <c r="D20" s="96"/>
      <c r="E20" s="98">
        <v>0.1</v>
      </c>
      <c r="F20" s="96"/>
      <c r="G20" s="96"/>
      <c r="H20" s="4"/>
      <c r="I20" s="97"/>
      <c r="J20" s="96"/>
      <c r="K20" s="103"/>
      <c r="L20" s="96"/>
      <c r="M20" s="96"/>
      <c r="N20" s="5"/>
      <c r="O20" s="3"/>
      <c r="P20" s="3"/>
      <c r="Q20" s="3"/>
      <c r="R20" s="3"/>
      <c r="S20" s="3"/>
    </row>
    <row r="21" spans="1:19" ht="13.8" customHeight="1" x14ac:dyDescent="0.25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3"/>
      <c r="P21" s="3"/>
      <c r="Q21" s="3"/>
      <c r="R21" s="3"/>
      <c r="S21" s="3"/>
    </row>
    <row r="22" spans="1:19" ht="13.8" customHeight="1" x14ac:dyDescent="0.25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3"/>
      <c r="P22" s="3"/>
      <c r="Q22" s="3"/>
      <c r="R22" s="3"/>
      <c r="S22" s="3"/>
    </row>
    <row r="23" spans="1:19" ht="13.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3"/>
      <c r="P23" s="3"/>
      <c r="Q23" s="3"/>
      <c r="R23" s="3"/>
      <c r="S23" s="3"/>
    </row>
    <row r="24" spans="1:19" ht="13.8" customHeight="1" x14ac:dyDescent="0.25">
      <c r="A24" s="8"/>
      <c r="B24" s="8"/>
      <c r="C24" s="8"/>
      <c r="D24" s="8"/>
      <c r="E24" s="8" t="s">
        <v>19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ht="13.8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ht="13.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ht="13.8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ht="13.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ht="13.8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ht="13.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ht="13.8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ht="13.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ht="13.8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ht="13.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ht="13.8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ht="13.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ht="13.8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3.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ht="13.8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ht="13.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ht="13.8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3.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ht="13.8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ht="13.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ht="13.8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ht="13.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ht="13.8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ht="13.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ht="13.8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3.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ht="13.8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3.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ht="13.8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ht="13.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ht="13.8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ht="13.8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ht="13.8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ht="13.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ht="13.8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13.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ht="13.8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ht="13.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ht="13.8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ht="13.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ht="13.8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ht="13.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ht="13.8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ht="13.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ht="13.8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ht="13.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ht="13.8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ht="13.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ht="13.8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ht="13.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ht="13.8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ht="13.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ht="13.8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ht="13.8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ht="13.8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ht="13.8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ht="13.8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ht="13.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ht="13.8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ht="13.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ht="13.8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ht="13.8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ht="13.8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ht="13.8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ht="13.8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ht="13.8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ht="13.8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ht="13.8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ht="13.8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ht="13.8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ht="13.8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3.8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ht="13.8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ht="13.8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ht="13.8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3.8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3.8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3.8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3.8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3.8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3.8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3.8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3.8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3.8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3.8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3.8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3.8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3.8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3.8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3.8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3.8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3.8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3.8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3.8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3.8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3.8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3.8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3.8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3.8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3.8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3.8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3.8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3.8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3.8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3.8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3.8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3.8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3.8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3.8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3.8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3.8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3.8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3.8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3.8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3.8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3.8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3.8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ht="13.8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ht="13.8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ht="13.8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ht="13.8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ht="13.8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ht="13.8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ht="13.8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</sheetData>
  <mergeCells count="27">
    <mergeCell ref="E7:K8"/>
    <mergeCell ref="I14:J14"/>
    <mergeCell ref="C17:D17"/>
    <mergeCell ref="I17:J17"/>
    <mergeCell ref="K15:M15"/>
    <mergeCell ref="E14:G14"/>
    <mergeCell ref="E17:G17"/>
    <mergeCell ref="E10:K11"/>
    <mergeCell ref="C20:D20"/>
    <mergeCell ref="I16:J16"/>
    <mergeCell ref="K14:M14"/>
    <mergeCell ref="K17:M17"/>
    <mergeCell ref="I18:J18"/>
    <mergeCell ref="K19:M19"/>
    <mergeCell ref="E18:G18"/>
    <mergeCell ref="K18:M18"/>
    <mergeCell ref="I20:J20"/>
    <mergeCell ref="K20:M20"/>
    <mergeCell ref="C19:D19"/>
    <mergeCell ref="I19:J19"/>
    <mergeCell ref="C18:D18"/>
    <mergeCell ref="E20:G20"/>
    <mergeCell ref="E19:G19"/>
    <mergeCell ref="C15:D15"/>
    <mergeCell ref="I15:J15"/>
    <mergeCell ref="C14:D14"/>
    <mergeCell ref="E15:G15"/>
  </mergeCells>
  <hyperlinks>
    <hyperlink ref="K17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8"/>
  <sheetViews>
    <sheetView workbookViewId="0"/>
  </sheetViews>
  <sheetFormatPr defaultColWidth="12.6640625" defaultRowHeight="15" customHeight="1" x14ac:dyDescent="0.25"/>
  <cols>
    <col min="1" max="1" width="3.21875" style="86" customWidth="1"/>
    <col min="2" max="2" width="14.6640625" style="86" customWidth="1"/>
    <col min="3" max="3" width="11.109375" style="86" customWidth="1"/>
    <col min="4" max="4" width="21.77734375" style="86" customWidth="1"/>
    <col min="5" max="5" width="9" style="86" customWidth="1"/>
    <col min="6" max="6" width="12.33203125" style="86" customWidth="1"/>
    <col min="7" max="7" width="10.33203125" style="86" customWidth="1"/>
    <col min="8" max="9" width="11.21875" style="86" customWidth="1"/>
    <col min="10" max="10" width="10.6640625" style="86" customWidth="1"/>
    <col min="11" max="11" width="11.77734375" style="86" customWidth="1"/>
    <col min="12" max="12" width="20.33203125" style="86" customWidth="1"/>
    <col min="13" max="13" width="8.77734375" style="86" customWidth="1"/>
    <col min="14" max="14" width="8.109375" style="86" customWidth="1"/>
    <col min="15" max="15" width="10.6640625" style="86" customWidth="1"/>
    <col min="16" max="16" width="5.88671875" style="86" customWidth="1"/>
    <col min="17" max="17" width="4.6640625" style="86" customWidth="1"/>
  </cols>
  <sheetData>
    <row r="1" spans="1:29" ht="39" customHeight="1" x14ac:dyDescent="0.25">
      <c r="A1" s="82"/>
      <c r="B1" s="109" t="s">
        <v>20</v>
      </c>
      <c r="C1" s="110"/>
      <c r="D1" s="110"/>
      <c r="E1" s="110"/>
      <c r="F1" s="110"/>
      <c r="G1" s="110"/>
      <c r="H1" s="110"/>
      <c r="I1" s="110"/>
      <c r="J1" s="111"/>
      <c r="K1" s="82"/>
      <c r="L1" s="82"/>
      <c r="M1" s="82"/>
      <c r="N1" s="82"/>
      <c r="O1" s="82"/>
      <c r="P1" s="82"/>
      <c r="Q1" s="82"/>
      <c r="R1" s="82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15.75" customHeight="1" x14ac:dyDescent="0.25">
      <c r="A2" s="82"/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82"/>
      <c r="L2" s="82"/>
      <c r="M2" s="82"/>
      <c r="N2" s="82"/>
      <c r="O2" s="82"/>
      <c r="P2" s="82"/>
      <c r="Q2" s="82"/>
      <c r="R2" s="82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spans="1:29" ht="15.75" customHeight="1" x14ac:dyDescent="0.25">
      <c r="A3" s="82"/>
      <c r="B3" s="11" t="s">
        <v>30</v>
      </c>
      <c r="C3" s="10">
        <f>IFERROR((F3+G3)/(E3-H3-I3),0)</f>
        <v>0</v>
      </c>
      <c r="D3" s="10">
        <f>IFERROR((F3)/(E3-H3-I3),0)</f>
        <v>0</v>
      </c>
      <c r="E3" s="11" t="e">
        <f>SUM(F3:J3)</f>
        <v>#REF!</v>
      </c>
      <c r="F3" s="11" t="e">
        <f>[1]Testcase!J1+[1]Testcase!M1</f>
        <v>#REF!</v>
      </c>
      <c r="G3" s="11" t="e">
        <f>[1]Testcase!J2+[1]Testcase!M2</f>
        <v>#REF!</v>
      </c>
      <c r="H3" s="11" t="e">
        <f>[1]Testcase!J5+[1]Testcase!M5</f>
        <v>#REF!</v>
      </c>
      <c r="I3" s="11" t="e">
        <f>[1]Testcase!J4+[1]Testcase!M4</f>
        <v>#REF!</v>
      </c>
      <c r="J3" s="11" t="e">
        <f>[1]Testcase!J3+[1]Testcase!M3</f>
        <v>#REF!</v>
      </c>
      <c r="K3" s="82"/>
      <c r="L3" s="82"/>
      <c r="M3" s="82"/>
      <c r="N3" s="82"/>
      <c r="O3" s="82"/>
      <c r="P3" s="82"/>
      <c r="Q3" s="82"/>
      <c r="R3" s="82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15.75" customHeight="1" x14ac:dyDescent="0.25">
      <c r="A4" s="82"/>
      <c r="B4" s="11" t="s">
        <v>31</v>
      </c>
      <c r="C4" s="10">
        <f>IFERROR((F4+G4)/(E4-H4-I4),0)</f>
        <v>0</v>
      </c>
      <c r="D4" s="10">
        <f>IFERROR((F4)/(E4-H4-I4),0)</f>
        <v>0</v>
      </c>
      <c r="E4" s="12" t="e">
        <f>#REF!</f>
        <v>#REF!</v>
      </c>
      <c r="F4" s="11" t="e">
        <f>#REF!+#REF!</f>
        <v>#REF!</v>
      </c>
      <c r="G4" s="11" t="e">
        <f>#REF!+#REF!</f>
        <v>#REF!</v>
      </c>
      <c r="H4" s="11" t="e">
        <f>#REF!+#REF!</f>
        <v>#REF!</v>
      </c>
      <c r="I4" s="11" t="e">
        <f>#REF!+#REF!</f>
        <v>#REF!</v>
      </c>
      <c r="J4" s="11" t="e">
        <f>#REF!+#REF!</f>
        <v>#REF!</v>
      </c>
      <c r="K4" s="82"/>
      <c r="L4" s="82"/>
      <c r="M4" s="82"/>
      <c r="N4" s="82"/>
      <c r="O4" s="82"/>
      <c r="P4" s="82"/>
      <c r="Q4" s="82"/>
      <c r="R4" s="82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.75" customHeight="1" x14ac:dyDescent="0.25">
      <c r="A5" s="82"/>
      <c r="B5" s="11" t="s">
        <v>32</v>
      </c>
      <c r="C5" s="10">
        <f>IFERROR((F5+G5)/(E5-H5-I5),0)</f>
        <v>0</v>
      </c>
      <c r="D5" s="10">
        <f>IFERROR((F5)/(E5-H5-I5),0)</f>
        <v>0</v>
      </c>
      <c r="E5" s="12" t="e">
        <f>#REF!</f>
        <v>#REF!</v>
      </c>
      <c r="F5" s="11" t="e">
        <f>#REF!+#REF!</f>
        <v>#REF!</v>
      </c>
      <c r="G5" s="11" t="e">
        <f>#REF!+#REF!</f>
        <v>#REF!</v>
      </c>
      <c r="H5" s="11" t="e">
        <f>#REF!+#REF!</f>
        <v>#REF!</v>
      </c>
      <c r="I5" s="11" t="e">
        <f>#REF!+#REF!</f>
        <v>#REF!</v>
      </c>
      <c r="J5" s="11" t="e">
        <f>#REF!+#REF!</f>
        <v>#REF!</v>
      </c>
      <c r="K5" s="82"/>
      <c r="L5" s="82"/>
      <c r="M5" s="82"/>
      <c r="N5" s="82"/>
      <c r="O5" s="82"/>
      <c r="P5" s="82"/>
      <c r="Q5" s="82"/>
      <c r="R5" s="82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15.75" customHeight="1" x14ac:dyDescent="0.25">
      <c r="A6" s="82"/>
      <c r="B6" s="11" t="s">
        <v>33</v>
      </c>
      <c r="C6" s="10">
        <f>IFERROR((F6+G6)/(E6-H6-I6),0)</f>
        <v>0</v>
      </c>
      <c r="D6" s="10">
        <f>IFERROR((F6)/(E6-H6-I6),0)</f>
        <v>0</v>
      </c>
      <c r="E6" s="12" t="e">
        <f>#REF!</f>
        <v>#REF!</v>
      </c>
      <c r="F6" s="11" t="e">
        <f>#REF!+#REF!</f>
        <v>#REF!</v>
      </c>
      <c r="G6" s="11" t="e">
        <f>#REF!+#REF!</f>
        <v>#REF!</v>
      </c>
      <c r="H6" s="11" t="e">
        <f>#REF!+#REF!</f>
        <v>#REF!</v>
      </c>
      <c r="I6" s="11" t="e">
        <f>#REF!+#REF!</f>
        <v>#REF!</v>
      </c>
      <c r="J6" s="11" t="e">
        <f>#REF!+#REF!</f>
        <v>#REF!</v>
      </c>
      <c r="K6" s="82"/>
      <c r="L6" s="82"/>
      <c r="M6" s="82"/>
      <c r="N6" s="82"/>
      <c r="O6" s="82"/>
      <c r="P6" s="82"/>
      <c r="Q6" s="82"/>
      <c r="R6" s="82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5.75" customHeight="1" x14ac:dyDescent="0.25">
      <c r="A7" s="82"/>
      <c r="B7" s="11" t="s">
        <v>34</v>
      </c>
      <c r="C7" s="10">
        <f>IFERROR((F7+G7)/(E7-H7-I7),0)</f>
        <v>0</v>
      </c>
      <c r="D7" s="10">
        <f>IFERROR((F7)/(E7-H7-I7),0)</f>
        <v>0</v>
      </c>
      <c r="E7" s="12" t="e">
        <f>#REF!</f>
        <v>#REF!</v>
      </c>
      <c r="F7" s="11" t="e">
        <f>#REF!+#REF!</f>
        <v>#REF!</v>
      </c>
      <c r="G7" s="11" t="e">
        <f>#REF!+#REF!</f>
        <v>#REF!</v>
      </c>
      <c r="H7" s="11" t="e">
        <f>#REF!+#REF!</f>
        <v>#REF!</v>
      </c>
      <c r="I7" s="11" t="e">
        <f>#REF!+#REF!</f>
        <v>#REF!</v>
      </c>
      <c r="J7" s="11" t="e">
        <f>#REF!+#REF!</f>
        <v>#REF!</v>
      </c>
      <c r="K7" s="82"/>
      <c r="L7" s="82"/>
      <c r="M7" s="82"/>
      <c r="N7" s="82"/>
      <c r="O7" s="82"/>
      <c r="P7" s="82"/>
      <c r="Q7" s="82"/>
      <c r="R7" s="82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15.75" customHeight="1" x14ac:dyDescent="0.25">
      <c r="A8" s="82"/>
      <c r="B8" s="11"/>
      <c r="C8" s="10"/>
      <c r="D8" s="10"/>
      <c r="E8" s="11"/>
      <c r="F8" s="11"/>
      <c r="G8" s="11"/>
      <c r="H8" s="11"/>
      <c r="I8" s="11"/>
      <c r="J8" s="11"/>
      <c r="K8" s="82"/>
      <c r="L8" s="82"/>
      <c r="M8" s="82"/>
      <c r="N8" s="82"/>
      <c r="O8" s="82"/>
      <c r="P8" s="82"/>
      <c r="Q8" s="82"/>
      <c r="R8" s="82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15.75" customHeight="1" x14ac:dyDescent="0.25">
      <c r="A9" s="82"/>
      <c r="B9" s="11"/>
      <c r="C9" s="10"/>
      <c r="D9" s="10"/>
      <c r="E9" s="11"/>
      <c r="F9" s="11"/>
      <c r="G9" s="11"/>
      <c r="H9" s="11"/>
      <c r="I9" s="11"/>
      <c r="J9" s="11"/>
      <c r="K9" s="82"/>
      <c r="L9" s="82"/>
      <c r="M9" s="82"/>
      <c r="N9" s="82"/>
      <c r="O9" s="82"/>
      <c r="P9" s="82"/>
      <c r="Q9" s="82"/>
      <c r="R9" s="82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ht="15.75" customHeight="1" x14ac:dyDescent="0.25">
      <c r="A10" s="82"/>
      <c r="B10" s="11"/>
      <c r="C10" s="10"/>
      <c r="D10" s="10"/>
      <c r="E10" s="11"/>
      <c r="F10" s="11"/>
      <c r="G10" s="11"/>
      <c r="H10" s="11"/>
      <c r="I10" s="11"/>
      <c r="J10" s="11"/>
      <c r="K10" s="82"/>
      <c r="L10" s="82"/>
      <c r="M10" s="82"/>
      <c r="N10" s="82"/>
      <c r="O10" s="82"/>
      <c r="P10" s="82"/>
      <c r="Q10" s="82"/>
      <c r="R10" s="82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spans="1:29" ht="15.75" customHeight="1" x14ac:dyDescent="0.25">
      <c r="A11" s="82"/>
      <c r="B11" s="11"/>
      <c r="C11" s="10"/>
      <c r="D11" s="10"/>
      <c r="E11" s="11"/>
      <c r="F11" s="11"/>
      <c r="G11" s="11"/>
      <c r="H11" s="11"/>
      <c r="I11" s="11"/>
      <c r="J11" s="11"/>
      <c r="K11" s="82"/>
      <c r="L11" s="82"/>
      <c r="M11" s="82"/>
      <c r="N11" s="82"/>
      <c r="O11" s="82"/>
      <c r="P11" s="82"/>
      <c r="Q11" s="82"/>
      <c r="R11" s="82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5.75" customHeight="1" x14ac:dyDescent="0.25">
      <c r="A12" s="82"/>
      <c r="B12" s="11"/>
      <c r="C12" s="10"/>
      <c r="D12" s="10"/>
      <c r="E12" s="11"/>
      <c r="F12" s="11"/>
      <c r="G12" s="11"/>
      <c r="H12" s="11"/>
      <c r="I12" s="11"/>
      <c r="J12" s="11"/>
      <c r="K12" s="82"/>
      <c r="L12" s="82"/>
      <c r="M12" s="82"/>
      <c r="N12" s="82"/>
      <c r="O12" s="82"/>
      <c r="P12" s="82"/>
      <c r="Q12" s="82"/>
      <c r="R12" s="82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15.75" customHeight="1" x14ac:dyDescent="0.25">
      <c r="A13" s="82"/>
      <c r="B13" s="9" t="s">
        <v>35</v>
      </c>
      <c r="C13" s="13">
        <f>IFERROR((F13+G13)/(E13-H13-I13),0)</f>
        <v>0</v>
      </c>
      <c r="D13" s="13">
        <f>IFERROR((F13)/(E13-H13-I13),0)</f>
        <v>0</v>
      </c>
      <c r="E13" s="9" t="e">
        <f t="shared" ref="E13:J13" si="0">SUM(E3:E12)</f>
        <v>#REF!</v>
      </c>
      <c r="F13" s="9" t="e">
        <f t="shared" si="0"/>
        <v>#REF!</v>
      </c>
      <c r="G13" s="9" t="e">
        <f t="shared" si="0"/>
        <v>#REF!</v>
      </c>
      <c r="H13" s="9" t="e">
        <f t="shared" si="0"/>
        <v>#REF!</v>
      </c>
      <c r="I13" s="9" t="e">
        <f t="shared" si="0"/>
        <v>#REF!</v>
      </c>
      <c r="J13" s="9" t="e">
        <f t="shared" si="0"/>
        <v>#REF!</v>
      </c>
      <c r="K13" s="82"/>
      <c r="L13" s="82"/>
      <c r="M13" s="82"/>
      <c r="N13" s="82"/>
      <c r="O13" s="82"/>
      <c r="P13" s="82"/>
      <c r="Q13" s="82"/>
      <c r="R13" s="82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13.2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3.2" customHeight="1" x14ac:dyDescent="0.25">
      <c r="A15" s="14"/>
      <c r="B15" s="109" t="s">
        <v>36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3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13.2" customHeight="1" x14ac:dyDescent="0.25">
      <c r="A16" s="14"/>
      <c r="B16" s="114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26.25" customHeight="1" x14ac:dyDescent="0.25">
      <c r="A17" s="15"/>
      <c r="B17" s="119" t="s">
        <v>37</v>
      </c>
      <c r="C17" s="108" t="s">
        <v>21</v>
      </c>
      <c r="D17" s="108" t="s">
        <v>38</v>
      </c>
      <c r="E17" s="118" t="s">
        <v>8</v>
      </c>
      <c r="F17" s="104" t="s">
        <v>39</v>
      </c>
      <c r="G17" s="104" t="s">
        <v>40</v>
      </c>
      <c r="H17" s="119" t="s">
        <v>41</v>
      </c>
      <c r="I17" s="110"/>
      <c r="J17" s="110"/>
      <c r="K17" s="111"/>
      <c r="L17" s="117" t="s">
        <v>42</v>
      </c>
      <c r="M17" s="110"/>
      <c r="N17" s="110"/>
      <c r="O17" s="110"/>
      <c r="P17" s="110"/>
      <c r="Q17" s="110"/>
      <c r="R17" s="111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27.75" customHeight="1" x14ac:dyDescent="0.25">
      <c r="A18" s="15"/>
      <c r="B18" s="105"/>
      <c r="C18" s="105"/>
      <c r="D18" s="105"/>
      <c r="E18" s="105"/>
      <c r="F18" s="105"/>
      <c r="G18" s="105"/>
      <c r="H18" s="108" t="s">
        <v>43</v>
      </c>
      <c r="I18" s="108" t="s">
        <v>44</v>
      </c>
      <c r="J18" s="108" t="s">
        <v>45</v>
      </c>
      <c r="K18" s="108" t="s">
        <v>46</v>
      </c>
      <c r="L18" s="107" t="s">
        <v>47</v>
      </c>
      <c r="M18" s="107" t="s">
        <v>48</v>
      </c>
      <c r="N18" s="107" t="s">
        <v>49</v>
      </c>
      <c r="O18" s="107" t="s">
        <v>50</v>
      </c>
      <c r="P18" s="107" t="s">
        <v>51</v>
      </c>
      <c r="Q18" s="107" t="s">
        <v>45</v>
      </c>
      <c r="R18" s="107" t="s">
        <v>46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36.75" customHeight="1" x14ac:dyDescent="0.25">
      <c r="A19" s="1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26.4" customHeight="1" x14ac:dyDescent="0.25">
      <c r="A20" s="15"/>
      <c r="B20" s="16">
        <f>ROW()-6</f>
        <v>14</v>
      </c>
      <c r="C20" s="17" t="s">
        <v>30</v>
      </c>
      <c r="D20" s="17" t="s">
        <v>52</v>
      </c>
      <c r="E20" s="18"/>
      <c r="F20" s="18"/>
      <c r="G20" s="18"/>
      <c r="H20" s="18"/>
      <c r="I20" s="18"/>
      <c r="J20" s="18" t="s">
        <v>11</v>
      </c>
      <c r="K20" s="18" t="s">
        <v>53</v>
      </c>
      <c r="L20" s="18"/>
      <c r="M20" s="91"/>
      <c r="N20" s="91"/>
      <c r="O20" s="18"/>
      <c r="P20" s="19">
        <f>L20+N20</f>
        <v>0</v>
      </c>
      <c r="Q20" s="18"/>
      <c r="R20" s="18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5.75" customHeight="1" x14ac:dyDescent="0.25">
      <c r="A21" s="20"/>
      <c r="B21" s="21">
        <f>ROW()-6</f>
        <v>15</v>
      </c>
      <c r="C21" s="22" t="s">
        <v>31</v>
      </c>
      <c r="D21" s="22" t="s">
        <v>54</v>
      </c>
      <c r="E21" s="23"/>
      <c r="F21" s="23"/>
      <c r="G21" s="23"/>
      <c r="H21" s="23"/>
      <c r="I21" s="23"/>
      <c r="J21" s="24" t="s">
        <v>11</v>
      </c>
      <c r="K21" s="24" t="s">
        <v>53</v>
      </c>
      <c r="L21" s="23"/>
      <c r="M21" s="92"/>
      <c r="N21" s="92"/>
      <c r="O21" s="23"/>
      <c r="P21" s="25">
        <f>L21+N21</f>
        <v>0</v>
      </c>
      <c r="Q21" s="23"/>
      <c r="R21" s="23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15.75" customHeight="1" x14ac:dyDescent="0.25">
      <c r="A22" s="20"/>
      <c r="B22" s="21">
        <f>ROW()-6</f>
        <v>16</v>
      </c>
      <c r="C22" s="22" t="s">
        <v>32</v>
      </c>
      <c r="D22" s="22" t="s">
        <v>55</v>
      </c>
      <c r="E22" s="23"/>
      <c r="F22" s="23"/>
      <c r="G22" s="23"/>
      <c r="H22" s="23"/>
      <c r="I22" s="23"/>
      <c r="J22" s="24" t="s">
        <v>11</v>
      </c>
      <c r="K22" s="24" t="s">
        <v>53</v>
      </c>
      <c r="L22" s="23"/>
      <c r="M22" s="92"/>
      <c r="N22" s="92"/>
      <c r="O22" s="23"/>
      <c r="P22" s="25">
        <f>L22+N22</f>
        <v>0</v>
      </c>
      <c r="Q22" s="23"/>
      <c r="R22" s="23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5.75" customHeight="1" x14ac:dyDescent="0.25">
      <c r="A23" s="20"/>
      <c r="B23" s="21">
        <f>ROW()-6</f>
        <v>17</v>
      </c>
      <c r="C23" s="22" t="s">
        <v>33</v>
      </c>
      <c r="D23" s="22" t="s">
        <v>56</v>
      </c>
      <c r="E23" s="23"/>
      <c r="F23" s="23"/>
      <c r="G23" s="23"/>
      <c r="H23" s="23"/>
      <c r="I23" s="23"/>
      <c r="J23" s="24" t="s">
        <v>11</v>
      </c>
      <c r="K23" s="24" t="s">
        <v>53</v>
      </c>
      <c r="L23" s="23"/>
      <c r="M23" s="92"/>
      <c r="N23" s="92"/>
      <c r="O23" s="23"/>
      <c r="P23" s="25">
        <f>L23+N23</f>
        <v>0</v>
      </c>
      <c r="Q23" s="23"/>
      <c r="R23" s="23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15.75" customHeight="1" x14ac:dyDescent="0.25">
      <c r="A24" s="20"/>
      <c r="B24" s="21">
        <f>ROW()-6</f>
        <v>18</v>
      </c>
      <c r="C24" s="22" t="s">
        <v>34</v>
      </c>
      <c r="D24" s="22" t="s">
        <v>57</v>
      </c>
      <c r="E24" s="23"/>
      <c r="F24" s="23"/>
      <c r="G24" s="23"/>
      <c r="H24" s="23"/>
      <c r="I24" s="23"/>
      <c r="J24" s="24" t="s">
        <v>11</v>
      </c>
      <c r="K24" s="24" t="s">
        <v>53</v>
      </c>
      <c r="L24" s="23"/>
      <c r="M24" s="92"/>
      <c r="N24" s="92"/>
      <c r="O24" s="23"/>
      <c r="P24" s="25">
        <f>L24+N24</f>
        <v>0</v>
      </c>
      <c r="Q24" s="23"/>
      <c r="R24" s="23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customHeight="1" x14ac:dyDescent="0.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ht="15.75" customHeight="1" x14ac:dyDescent="0.25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 ht="15.75" customHeight="1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ht="15.75" customHeight="1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 ht="15.75" customHeight="1" x14ac:dyDescent="0.25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15.75" customHeight="1" x14ac:dyDescent="0.2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5.75" customHeight="1" x14ac:dyDescent="0.25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5.75" customHeight="1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5.75" customHeight="1" x14ac:dyDescent="0.2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5.75" customHeight="1" x14ac:dyDescent="0.25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5.75" customHeight="1" x14ac:dyDescent="0.2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5.75" customHeight="1" x14ac:dyDescent="0.25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5.75" customHeight="1" x14ac:dyDescent="0.25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5.75" customHeight="1" x14ac:dyDescent="0.25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5.75" customHeight="1" x14ac:dyDescent="0.25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5.75" customHeight="1" x14ac:dyDescent="0.25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5.75" customHeight="1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5.75" customHeight="1" x14ac:dyDescent="0.25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5.75" customHeight="1" x14ac:dyDescent="0.25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5.75" customHeight="1" x14ac:dyDescent="0.25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5.75" customHeight="1" x14ac:dyDescent="0.2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5.75" customHeight="1" x14ac:dyDescent="0.2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5.75" customHeight="1" x14ac:dyDescent="0.2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5.75" customHeight="1" x14ac:dyDescent="0.2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5.75" customHeight="1" x14ac:dyDescent="0.2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.75" customHeight="1" x14ac:dyDescent="0.2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.75" customHeight="1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.75" customHeight="1" x14ac:dyDescent="0.2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.75" customHeight="1" x14ac:dyDescent="0.2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.75" customHeight="1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.75" customHeight="1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.75" customHeight="1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.75" customHeight="1" x14ac:dyDescent="0.2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.75" customHeight="1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5.75" customHeight="1" x14ac:dyDescent="0.2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5.75" customHeight="1" x14ac:dyDescent="0.2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5.75" customHeight="1" x14ac:dyDescent="0.2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5.75" customHeight="1" x14ac:dyDescent="0.2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5.75" customHeight="1" x14ac:dyDescent="0.2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5.75" customHeight="1" x14ac:dyDescent="0.2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5.75" customHeight="1" x14ac:dyDescent="0.2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5.75" customHeight="1" x14ac:dyDescent="0.2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5.75" customHeight="1" x14ac:dyDescent="0.2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5.75" customHeight="1" x14ac:dyDescent="0.2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5.75" customHeight="1" x14ac:dyDescent="0.2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5.75" customHeight="1" x14ac:dyDescent="0.2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5.75" customHeight="1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5.75" customHeight="1" x14ac:dyDescent="0.2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5.75" customHeight="1" x14ac:dyDescent="0.2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5.75" customHeight="1" x14ac:dyDescent="0.2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5.75" customHeight="1" x14ac:dyDescent="0.2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5.75" customHeight="1" x14ac:dyDescent="0.2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5.75" customHeight="1" x14ac:dyDescent="0.2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5.75" customHeight="1" x14ac:dyDescent="0.2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5.75" customHeight="1" x14ac:dyDescent="0.2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5.75" customHeight="1" x14ac:dyDescent="0.2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5.75" customHeight="1" x14ac:dyDescent="0.2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5.75" customHeight="1" x14ac:dyDescent="0.2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5.75" customHeight="1" x14ac:dyDescent="0.2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5.75" customHeight="1" x14ac:dyDescent="0.2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5.75" customHeight="1" x14ac:dyDescent="0.2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5.75" customHeight="1" x14ac:dyDescent="0.2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5.75" customHeight="1" x14ac:dyDescent="0.2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5.75" customHeight="1" x14ac:dyDescent="0.2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5.75" customHeight="1" x14ac:dyDescent="0.2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5.75" customHeight="1" x14ac:dyDescent="0.2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5.75" customHeight="1" x14ac:dyDescent="0.2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5.75" customHeight="1" x14ac:dyDescent="0.2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5.75" customHeight="1" x14ac:dyDescent="0.2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5.75" customHeight="1" x14ac:dyDescent="0.2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5.75" customHeight="1" x14ac:dyDescent="0.2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5.75" customHeight="1" x14ac:dyDescent="0.2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5.75" customHeight="1" x14ac:dyDescent="0.2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5.75" customHeight="1" x14ac:dyDescent="0.2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5.75" customHeight="1" x14ac:dyDescent="0.2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5.75" customHeight="1" x14ac:dyDescent="0.2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5.75" customHeight="1" x14ac:dyDescent="0.2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5.75" customHeight="1" x14ac:dyDescent="0.2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5.75" customHeight="1" x14ac:dyDescent="0.2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5.75" customHeight="1" x14ac:dyDescent="0.2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5.75" customHeight="1" x14ac:dyDescent="0.2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5.75" customHeight="1" x14ac:dyDescent="0.2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5.75" customHeight="1" x14ac:dyDescent="0.2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5.75" customHeight="1" x14ac:dyDescent="0.2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5.75" customHeight="1" x14ac:dyDescent="0.2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5.75" customHeight="1" x14ac:dyDescent="0.2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5.75" customHeight="1" x14ac:dyDescent="0.2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5.75" customHeight="1" x14ac:dyDescent="0.2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5.75" customHeight="1" x14ac:dyDescent="0.2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5.75" customHeight="1" x14ac:dyDescent="0.2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5.75" customHeight="1" x14ac:dyDescent="0.2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5.75" customHeight="1" x14ac:dyDescent="0.2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5.75" customHeight="1" x14ac:dyDescent="0.2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5.75" customHeight="1" x14ac:dyDescent="0.2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5.75" customHeight="1" x14ac:dyDescent="0.2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5.75" customHeight="1" x14ac:dyDescent="0.2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5.75" customHeight="1" x14ac:dyDescent="0.2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5.75" customHeight="1" x14ac:dyDescent="0.2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5.75" customHeight="1" x14ac:dyDescent="0.2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5.75" customHeight="1" x14ac:dyDescent="0.2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5.75" customHeight="1" x14ac:dyDescent="0.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5.75" customHeight="1" x14ac:dyDescent="0.2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5.75" customHeight="1" x14ac:dyDescent="0.2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5.75" customHeight="1" x14ac:dyDescent="0.2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5.75" customHeight="1" x14ac:dyDescent="0.2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5.75" customHeight="1" x14ac:dyDescent="0.2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5.75" customHeight="1" x14ac:dyDescent="0.2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5.75" customHeight="1" x14ac:dyDescent="0.2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5.75" customHeight="1" x14ac:dyDescent="0.2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5.75" customHeight="1" x14ac:dyDescent="0.2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5.75" customHeight="1" x14ac:dyDescent="0.2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5.75" customHeight="1" x14ac:dyDescent="0.2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5.75" customHeight="1" x14ac:dyDescent="0.2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5.75" customHeight="1" x14ac:dyDescent="0.2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5.75" customHeight="1" x14ac:dyDescent="0.2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5.75" customHeight="1" x14ac:dyDescent="0.2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5.75" customHeight="1" x14ac:dyDescent="0.2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5.75" customHeight="1" x14ac:dyDescent="0.2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5.75" customHeight="1" x14ac:dyDescent="0.2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5.75" customHeight="1" x14ac:dyDescent="0.2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5.75" customHeight="1" x14ac:dyDescent="0.2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5.75" customHeight="1" x14ac:dyDescent="0.2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5.75" customHeight="1" x14ac:dyDescent="0.2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5.75" customHeight="1" x14ac:dyDescent="0.2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5.75" customHeight="1" x14ac:dyDescent="0.2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5.75" customHeight="1" x14ac:dyDescent="0.2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5.75" customHeight="1" x14ac:dyDescent="0.2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5.75" customHeight="1" x14ac:dyDescent="0.2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5.75" customHeight="1" x14ac:dyDescent="0.2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5.75" customHeight="1" x14ac:dyDescent="0.2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5.75" customHeight="1" x14ac:dyDescent="0.2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5.75" customHeight="1" x14ac:dyDescent="0.2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5.75" customHeight="1" x14ac:dyDescent="0.2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5.75" customHeight="1" x14ac:dyDescent="0.2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5.75" customHeight="1" x14ac:dyDescent="0.2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5.75" customHeight="1" x14ac:dyDescent="0.2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5.75" customHeight="1" x14ac:dyDescent="0.2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5.75" customHeight="1" x14ac:dyDescent="0.2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5.75" customHeight="1" x14ac:dyDescent="0.2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5.75" customHeight="1" x14ac:dyDescent="0.2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5.75" customHeight="1" x14ac:dyDescent="0.2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5.75" customHeight="1" x14ac:dyDescent="0.2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5.75" customHeight="1" x14ac:dyDescent="0.2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5.75" customHeight="1" x14ac:dyDescent="0.2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5.75" customHeight="1" x14ac:dyDescent="0.2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5.75" customHeight="1" x14ac:dyDescent="0.2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5.75" customHeight="1" x14ac:dyDescent="0.2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5.75" customHeight="1" x14ac:dyDescent="0.2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5.75" customHeight="1" x14ac:dyDescent="0.2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5.75" customHeight="1" x14ac:dyDescent="0.2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5.75" customHeight="1" x14ac:dyDescent="0.2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5.75" customHeight="1" x14ac:dyDescent="0.2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5.75" customHeight="1" x14ac:dyDescent="0.2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5.75" customHeight="1" x14ac:dyDescent="0.2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5.75" customHeight="1" x14ac:dyDescent="0.2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5.75" customHeight="1" x14ac:dyDescent="0.2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5.75" customHeight="1" x14ac:dyDescent="0.2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5.75" customHeight="1" x14ac:dyDescent="0.2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5.75" customHeight="1" x14ac:dyDescent="0.2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5.75" customHeight="1" x14ac:dyDescent="0.2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5.75" customHeight="1" x14ac:dyDescent="0.2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5.75" customHeight="1" x14ac:dyDescent="0.2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5.75" customHeight="1" x14ac:dyDescent="0.2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5.75" customHeight="1" x14ac:dyDescent="0.2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5.75" customHeight="1" x14ac:dyDescent="0.2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5.75" customHeight="1" x14ac:dyDescent="0.2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5.75" customHeight="1" x14ac:dyDescent="0.2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5.75" customHeight="1" x14ac:dyDescent="0.2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5.75" customHeight="1" x14ac:dyDescent="0.2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5.75" customHeight="1" x14ac:dyDescent="0.2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5.75" customHeight="1" x14ac:dyDescent="0.2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5.75" customHeight="1" x14ac:dyDescent="0.2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5.75" customHeight="1" x14ac:dyDescent="0.2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5.75" customHeight="1" x14ac:dyDescent="0.2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5.75" customHeight="1" x14ac:dyDescent="0.2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5.75" customHeight="1" x14ac:dyDescent="0.2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5.75" customHeight="1" x14ac:dyDescent="0.2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5.75" customHeight="1" x14ac:dyDescent="0.2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5.75" customHeight="1" x14ac:dyDescent="0.2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5.75" customHeight="1" x14ac:dyDescent="0.2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5.75" customHeight="1" x14ac:dyDescent="0.2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5.75" customHeight="1" x14ac:dyDescent="0.2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5.75" customHeight="1" x14ac:dyDescent="0.2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5.75" customHeight="1" x14ac:dyDescent="0.2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5.75" customHeight="1" x14ac:dyDescent="0.2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5.75" customHeight="1" x14ac:dyDescent="0.2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5.75" customHeight="1" x14ac:dyDescent="0.2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5.75" customHeight="1" x14ac:dyDescent="0.2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5.75" customHeight="1" x14ac:dyDescent="0.2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5.75" customHeight="1" x14ac:dyDescent="0.2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5.75" customHeight="1" x14ac:dyDescent="0.2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5.75" customHeight="1" x14ac:dyDescent="0.2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5.75" customHeight="1" x14ac:dyDescent="0.2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5.75" customHeight="1" x14ac:dyDescent="0.2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5.75" customHeight="1" x14ac:dyDescent="0.2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.75" customHeight="1" x14ac:dyDescent="0.2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.75" customHeight="1" x14ac:dyDescent="0.2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5.75" customHeight="1" x14ac:dyDescent="0.2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5.75" customHeight="1" x14ac:dyDescent="0.2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5.75" customHeight="1" x14ac:dyDescent="0.2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5.75" customHeight="1" x14ac:dyDescent="0.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5.75" customHeight="1" x14ac:dyDescent="0.2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5.75" customHeight="1" x14ac:dyDescent="0.2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5.75" customHeight="1" x14ac:dyDescent="0.2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5.75" customHeight="1" x14ac:dyDescent="0.2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5.75" customHeight="1" x14ac:dyDescent="0.2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5.75" customHeight="1" x14ac:dyDescent="0.2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5.75" customHeight="1" x14ac:dyDescent="0.2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5.75" customHeight="1" x14ac:dyDescent="0.2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5.75" customHeight="1" x14ac:dyDescent="0.2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5.75" customHeight="1" x14ac:dyDescent="0.2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5.75" customHeight="1" x14ac:dyDescent="0.2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5.75" customHeight="1" x14ac:dyDescent="0.2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5.75" customHeight="1" x14ac:dyDescent="0.2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5.75" customHeight="1" x14ac:dyDescent="0.2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5.75" customHeight="1" x14ac:dyDescent="0.2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5.75" customHeight="1" x14ac:dyDescent="0.2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5.75" customHeight="1" x14ac:dyDescent="0.2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5.75" customHeight="1" x14ac:dyDescent="0.2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5.75" customHeight="1" x14ac:dyDescent="0.2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5.75" customHeight="1" x14ac:dyDescent="0.2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5.75" customHeight="1" x14ac:dyDescent="0.2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5.75" customHeight="1" x14ac:dyDescent="0.2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5.75" customHeight="1" x14ac:dyDescent="0.2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 x14ac:dyDescent="0.2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5.75" customHeight="1" x14ac:dyDescent="0.2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5.75" customHeight="1" x14ac:dyDescent="0.2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5.75" customHeight="1" x14ac:dyDescent="0.2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5.75" customHeight="1" x14ac:dyDescent="0.2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spans="1:29" ht="15.75" customHeight="1" x14ac:dyDescent="0.2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spans="1:29" ht="15.75" customHeight="1" x14ac:dyDescent="0.2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spans="1:29" ht="15.75" customHeight="1" x14ac:dyDescent="0.2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spans="1:29" ht="15.75" customHeight="1" x14ac:dyDescent="0.2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spans="1:29" ht="15.75" customHeight="1" x14ac:dyDescent="0.2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spans="1:29" ht="15.75" customHeight="1" x14ac:dyDescent="0.2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spans="1:29" ht="15.75" customHeight="1" x14ac:dyDescent="0.2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ht="15.75" customHeight="1" x14ac:dyDescent="0.2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ht="15.75" customHeight="1" x14ac:dyDescent="0.2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ht="15.75" customHeight="1" x14ac:dyDescent="0.2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ht="15.75" customHeight="1" x14ac:dyDescent="0.2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ht="15.75" customHeight="1" x14ac:dyDescent="0.2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ht="15.75" customHeight="1" x14ac:dyDescent="0.2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ht="15.75" customHeight="1" x14ac:dyDescent="0.2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ht="15.75" customHeight="1" x14ac:dyDescent="0.2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ht="15.75" customHeight="1" x14ac:dyDescent="0.2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ht="15.75" customHeight="1" x14ac:dyDescent="0.2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ht="15.75" customHeight="1" x14ac:dyDescent="0.2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ht="15.75" customHeight="1" x14ac:dyDescent="0.2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ht="15.75" customHeight="1" x14ac:dyDescent="0.2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ht="15.75" customHeight="1" x14ac:dyDescent="0.2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ht="15.75" customHeight="1" x14ac:dyDescent="0.2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ht="15.75" customHeight="1" x14ac:dyDescent="0.2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ht="15.75" customHeight="1" x14ac:dyDescent="0.2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ht="15.75" customHeight="1" x14ac:dyDescent="0.2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ht="15.75" customHeight="1" x14ac:dyDescent="0.2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ht="15.75" customHeight="1" x14ac:dyDescent="0.2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ht="15.75" customHeight="1" x14ac:dyDescent="0.2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ht="15.75" customHeight="1" x14ac:dyDescent="0.2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ht="15.75" customHeight="1" x14ac:dyDescent="0.2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ht="15.75" customHeight="1" x14ac:dyDescent="0.2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ht="15.75" customHeight="1" x14ac:dyDescent="0.2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ht="15.75" customHeight="1" x14ac:dyDescent="0.2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5.75" customHeight="1" x14ac:dyDescent="0.2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15.75" customHeight="1" x14ac:dyDescent="0.2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ht="15.75" customHeight="1" x14ac:dyDescent="0.2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ht="15.75" customHeight="1" x14ac:dyDescent="0.2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ht="15.75" customHeight="1" x14ac:dyDescent="0.2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ht="15.75" customHeight="1" x14ac:dyDescent="0.2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ht="15.75" customHeight="1" x14ac:dyDescent="0.2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ht="15.75" customHeight="1" x14ac:dyDescent="0.2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ht="15.75" customHeight="1" x14ac:dyDescent="0.2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ht="15.75" customHeight="1" x14ac:dyDescent="0.2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ht="15.75" customHeight="1" x14ac:dyDescent="0.2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ht="15.75" customHeight="1" x14ac:dyDescent="0.2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ht="15.75" customHeight="1" x14ac:dyDescent="0.2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ht="15.75" customHeight="1" x14ac:dyDescent="0.2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ht="15.75" customHeight="1" x14ac:dyDescent="0.2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ht="15.75" customHeight="1" x14ac:dyDescent="0.2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ht="15.75" customHeight="1" x14ac:dyDescent="0.2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ht="15.75" customHeight="1" x14ac:dyDescent="0.2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ht="15.75" customHeight="1" x14ac:dyDescent="0.2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ht="15.75" customHeight="1" x14ac:dyDescent="0.2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ht="15.75" customHeight="1" x14ac:dyDescent="0.2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ht="15.75" customHeight="1" x14ac:dyDescent="0.2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ht="15.75" customHeight="1" x14ac:dyDescent="0.2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ht="15.75" customHeight="1" x14ac:dyDescent="0.2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ht="15.75" customHeight="1" x14ac:dyDescent="0.2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ht="15.75" customHeight="1" x14ac:dyDescent="0.2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5.75" customHeight="1" x14ac:dyDescent="0.2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15.75" customHeight="1" x14ac:dyDescent="0.2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ht="15.75" customHeight="1" x14ac:dyDescent="0.2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ht="15.75" customHeight="1" x14ac:dyDescent="0.2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ht="15.75" customHeight="1" x14ac:dyDescent="0.2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ht="15.75" customHeight="1" x14ac:dyDescent="0.2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ht="15.75" customHeight="1" x14ac:dyDescent="0.2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ht="15.75" customHeight="1" x14ac:dyDescent="0.2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ht="15.75" customHeight="1" x14ac:dyDescent="0.2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ht="15.75" customHeight="1" x14ac:dyDescent="0.2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ht="15.75" customHeight="1" x14ac:dyDescent="0.2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ht="15.75" customHeight="1" x14ac:dyDescent="0.2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ht="15.75" customHeight="1" x14ac:dyDescent="0.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ht="15.75" customHeight="1" x14ac:dyDescent="0.2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ht="15.75" customHeight="1" x14ac:dyDescent="0.2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ht="15.75" customHeight="1" x14ac:dyDescent="0.2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ht="15.75" customHeight="1" x14ac:dyDescent="0.2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ht="15.75" customHeight="1" x14ac:dyDescent="0.2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ht="15.75" customHeight="1" x14ac:dyDescent="0.2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ht="15.75" customHeight="1" x14ac:dyDescent="0.2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ht="15.75" customHeight="1" x14ac:dyDescent="0.2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ht="15.75" customHeight="1" x14ac:dyDescent="0.2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ht="15.75" customHeight="1" x14ac:dyDescent="0.2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ht="15.75" customHeight="1" x14ac:dyDescent="0.2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ht="15.75" customHeight="1" x14ac:dyDescent="0.2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ht="15.75" customHeight="1" x14ac:dyDescent="0.2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ht="15.75" customHeight="1" x14ac:dyDescent="0.2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ht="15.75" customHeight="1" x14ac:dyDescent="0.2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ht="15.75" customHeight="1" x14ac:dyDescent="0.2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5.75" customHeight="1" x14ac:dyDescent="0.2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15.75" customHeight="1" x14ac:dyDescent="0.2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ht="15.75" customHeight="1" x14ac:dyDescent="0.2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ht="15.75" customHeight="1" x14ac:dyDescent="0.2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ht="15.75" customHeight="1" x14ac:dyDescent="0.2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ht="15.75" customHeight="1" x14ac:dyDescent="0.2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ht="15.75" customHeight="1" x14ac:dyDescent="0.2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ht="15.75" customHeight="1" x14ac:dyDescent="0.2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ht="15.75" customHeight="1" x14ac:dyDescent="0.2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ht="15.75" customHeight="1" x14ac:dyDescent="0.2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ht="15.75" customHeight="1" x14ac:dyDescent="0.2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ht="15.75" customHeight="1" x14ac:dyDescent="0.2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ht="15.75" customHeight="1" x14ac:dyDescent="0.2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ht="15.75" customHeight="1" x14ac:dyDescent="0.2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ht="15.75" customHeight="1" x14ac:dyDescent="0.2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ht="15.75" customHeight="1" x14ac:dyDescent="0.2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ht="15.75" customHeight="1" x14ac:dyDescent="0.2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ht="15.75" customHeight="1" x14ac:dyDescent="0.2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ht="15.75" customHeight="1" x14ac:dyDescent="0.2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ht="15.75" customHeight="1" x14ac:dyDescent="0.2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ht="15.75" customHeight="1" x14ac:dyDescent="0.2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ht="15.75" customHeight="1" x14ac:dyDescent="0.2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ht="15.75" customHeight="1" x14ac:dyDescent="0.2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ht="15.75" customHeight="1" x14ac:dyDescent="0.2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ht="15.75" customHeight="1" x14ac:dyDescent="0.2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ht="15.75" customHeight="1" x14ac:dyDescent="0.2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ht="15.75" customHeight="1" x14ac:dyDescent="0.2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ht="15.75" customHeight="1" x14ac:dyDescent="0.2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ht="15.75" customHeight="1" x14ac:dyDescent="0.2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ht="15.75" customHeight="1" x14ac:dyDescent="0.2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5.75" customHeight="1" x14ac:dyDescent="0.2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15.75" customHeight="1" x14ac:dyDescent="0.2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ht="15.75" customHeight="1" x14ac:dyDescent="0.2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ht="15.75" customHeight="1" x14ac:dyDescent="0.2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ht="15.75" customHeight="1" x14ac:dyDescent="0.2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ht="15.75" customHeight="1" x14ac:dyDescent="0.2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ht="15.75" customHeight="1" x14ac:dyDescent="0.2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ht="15.75" customHeight="1" x14ac:dyDescent="0.2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ht="15.75" customHeight="1" x14ac:dyDescent="0.2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15.75" customHeight="1" x14ac:dyDescent="0.2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ht="15.75" customHeight="1" x14ac:dyDescent="0.2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ht="15.75" customHeight="1" x14ac:dyDescent="0.2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ht="15.75" customHeight="1" x14ac:dyDescent="0.2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ht="15.75" customHeight="1" x14ac:dyDescent="0.2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ht="15.75" customHeight="1" x14ac:dyDescent="0.2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ht="15.75" customHeight="1" x14ac:dyDescent="0.2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ht="15.75" customHeight="1" x14ac:dyDescent="0.2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ht="15.75" customHeight="1" x14ac:dyDescent="0.2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ht="15.75" customHeight="1" x14ac:dyDescent="0.2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5.75" customHeight="1" x14ac:dyDescent="0.2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15.75" customHeight="1" x14ac:dyDescent="0.2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ht="15.75" customHeight="1" x14ac:dyDescent="0.2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ht="15.75" customHeight="1" x14ac:dyDescent="0.2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ht="15.75" customHeight="1" x14ac:dyDescent="0.2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ht="15.75" customHeight="1" x14ac:dyDescent="0.2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ht="15.75" customHeight="1" x14ac:dyDescent="0.2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ht="15.75" customHeight="1" x14ac:dyDescent="0.2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ht="15.75" customHeight="1" x14ac:dyDescent="0.2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ht="15.75" customHeight="1" x14ac:dyDescent="0.2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ht="15.75" customHeight="1" x14ac:dyDescent="0.2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ht="15.75" customHeight="1" x14ac:dyDescent="0.2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ht="15.75" customHeight="1" x14ac:dyDescent="0.2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ht="15.75" customHeight="1" x14ac:dyDescent="0.2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ht="15.75" customHeight="1" x14ac:dyDescent="0.2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ht="15.75" customHeight="1" x14ac:dyDescent="0.2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ht="15.75" customHeight="1" x14ac:dyDescent="0.2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ht="15.75" customHeight="1" x14ac:dyDescent="0.2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ht="15.75" customHeight="1" x14ac:dyDescent="0.2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ht="15.75" customHeight="1" x14ac:dyDescent="0.2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ht="15.75" customHeight="1" x14ac:dyDescent="0.2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ht="15.75" customHeight="1" x14ac:dyDescent="0.2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ht="15.75" customHeight="1" x14ac:dyDescent="0.2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ht="15.75" customHeight="1" x14ac:dyDescent="0.2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ht="15.75" customHeight="1" x14ac:dyDescent="0.2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ht="15.75" customHeight="1" x14ac:dyDescent="0.2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ht="15.75" customHeight="1" x14ac:dyDescent="0.2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ht="15.75" customHeight="1" x14ac:dyDescent="0.2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ht="15.75" customHeight="1" x14ac:dyDescent="0.2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ht="15.75" customHeight="1" x14ac:dyDescent="0.2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ht="15.75" customHeight="1" x14ac:dyDescent="0.2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ht="15.75" customHeight="1" x14ac:dyDescent="0.2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ht="15.75" customHeight="1" x14ac:dyDescent="0.2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5.75" customHeight="1" x14ac:dyDescent="0.2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15.75" customHeight="1" x14ac:dyDescent="0.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ht="15.75" customHeight="1" x14ac:dyDescent="0.2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ht="15.75" customHeight="1" x14ac:dyDescent="0.2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ht="15.75" customHeight="1" x14ac:dyDescent="0.2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ht="15.75" customHeight="1" x14ac:dyDescent="0.2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ht="15.75" customHeight="1" x14ac:dyDescent="0.2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ht="15.75" customHeight="1" x14ac:dyDescent="0.2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ht="15.75" customHeight="1" x14ac:dyDescent="0.2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ht="15.75" customHeight="1" x14ac:dyDescent="0.2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ht="15.75" customHeight="1" x14ac:dyDescent="0.2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ht="15.75" customHeight="1" x14ac:dyDescent="0.2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ht="15.75" customHeight="1" x14ac:dyDescent="0.2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ht="15.75" customHeight="1" x14ac:dyDescent="0.2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ht="15.75" customHeight="1" x14ac:dyDescent="0.2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ht="15.75" customHeight="1" x14ac:dyDescent="0.2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ht="15.75" customHeight="1" x14ac:dyDescent="0.2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ht="15.75" customHeight="1" x14ac:dyDescent="0.2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ht="15.75" customHeight="1" x14ac:dyDescent="0.2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ht="15.75" customHeight="1" x14ac:dyDescent="0.2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ht="15.75" customHeight="1" x14ac:dyDescent="0.2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ht="15.75" customHeight="1" x14ac:dyDescent="0.2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ht="15.75" customHeight="1" x14ac:dyDescent="0.2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ht="15.75" customHeight="1" x14ac:dyDescent="0.2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ht="15.75" customHeight="1" x14ac:dyDescent="0.2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ht="15.75" customHeight="1" x14ac:dyDescent="0.2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ht="15.75" customHeight="1" x14ac:dyDescent="0.2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ht="15.75" customHeight="1" x14ac:dyDescent="0.2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ht="15.75" customHeight="1" x14ac:dyDescent="0.2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ht="15.75" customHeight="1" x14ac:dyDescent="0.2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ht="15.75" customHeight="1" x14ac:dyDescent="0.2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ht="15.75" customHeight="1" x14ac:dyDescent="0.2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ht="15.75" customHeight="1" x14ac:dyDescent="0.2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ht="15.75" customHeight="1" x14ac:dyDescent="0.2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ht="15.75" customHeight="1" x14ac:dyDescent="0.2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ht="15.75" customHeight="1" x14ac:dyDescent="0.2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ht="15.75" customHeight="1" x14ac:dyDescent="0.2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ht="15.75" customHeight="1" x14ac:dyDescent="0.2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ht="15.75" customHeight="1" x14ac:dyDescent="0.2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ht="15.75" customHeight="1" x14ac:dyDescent="0.2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ht="15.75" customHeight="1" x14ac:dyDescent="0.2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ht="15.75" customHeight="1" x14ac:dyDescent="0.2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ht="15.75" customHeight="1" x14ac:dyDescent="0.2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ht="15.75" customHeight="1" x14ac:dyDescent="0.2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ht="15.75" customHeight="1" x14ac:dyDescent="0.2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ht="15.75" customHeight="1" x14ac:dyDescent="0.2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5.75" customHeight="1" x14ac:dyDescent="0.2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15.75" customHeight="1" x14ac:dyDescent="0.2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ht="15.75" customHeight="1" x14ac:dyDescent="0.2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ht="15.75" customHeight="1" x14ac:dyDescent="0.2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ht="15.75" customHeight="1" x14ac:dyDescent="0.2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ht="15.75" customHeight="1" x14ac:dyDescent="0.2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ht="15.75" customHeight="1" x14ac:dyDescent="0.2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ht="15.75" customHeight="1" x14ac:dyDescent="0.2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ht="15.75" customHeight="1" x14ac:dyDescent="0.2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ht="15.75" customHeight="1" x14ac:dyDescent="0.2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ht="15.75" customHeight="1" x14ac:dyDescent="0.2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ht="15.75" customHeight="1" x14ac:dyDescent="0.2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ht="15.75" customHeight="1" x14ac:dyDescent="0.2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ht="15.75" customHeight="1" x14ac:dyDescent="0.2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ht="15.75" customHeight="1" x14ac:dyDescent="0.2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ht="15.75" customHeight="1" x14ac:dyDescent="0.2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ht="15.75" customHeight="1" x14ac:dyDescent="0.2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ht="15.75" customHeight="1" x14ac:dyDescent="0.2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ht="15.75" customHeight="1" x14ac:dyDescent="0.2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ht="15.75" customHeight="1" x14ac:dyDescent="0.2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ht="15.75" customHeight="1" x14ac:dyDescent="0.2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ht="15.75" customHeight="1" x14ac:dyDescent="0.2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ht="15.75" customHeight="1" x14ac:dyDescent="0.2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ht="15.75" customHeight="1" x14ac:dyDescent="0.2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ht="15.75" customHeight="1" x14ac:dyDescent="0.2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ht="15.75" customHeight="1" x14ac:dyDescent="0.2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ht="15.75" customHeight="1" x14ac:dyDescent="0.2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ht="15.75" customHeight="1" x14ac:dyDescent="0.2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ht="15.75" customHeight="1" x14ac:dyDescent="0.2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ht="15.75" customHeight="1" x14ac:dyDescent="0.2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ht="15.75" customHeight="1" x14ac:dyDescent="0.2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ht="15.75" customHeight="1" x14ac:dyDescent="0.2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ht="15.75" customHeight="1" x14ac:dyDescent="0.2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ht="15.75" customHeight="1" x14ac:dyDescent="0.2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ht="15.75" customHeight="1" x14ac:dyDescent="0.2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ht="15.75" customHeight="1" x14ac:dyDescent="0.2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ht="15.75" customHeight="1" x14ac:dyDescent="0.2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ht="15.75" customHeight="1" x14ac:dyDescent="0.2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ht="15.75" customHeight="1" x14ac:dyDescent="0.2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ht="15.75" customHeight="1" x14ac:dyDescent="0.2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ht="15.75" customHeight="1" x14ac:dyDescent="0.2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ht="15.75" customHeight="1" x14ac:dyDescent="0.2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ht="15.75" customHeight="1" x14ac:dyDescent="0.2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ht="15.75" customHeight="1" x14ac:dyDescent="0.2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ht="15.75" customHeight="1" x14ac:dyDescent="0.2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ht="15.75" customHeight="1" x14ac:dyDescent="0.2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ht="15.75" customHeight="1" x14ac:dyDescent="0.2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ht="15.75" customHeight="1" x14ac:dyDescent="0.2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ht="15.75" customHeight="1" x14ac:dyDescent="0.2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ht="15.75" customHeight="1" x14ac:dyDescent="0.2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ht="15.75" customHeight="1" x14ac:dyDescent="0.2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ht="15.75" customHeight="1" x14ac:dyDescent="0.2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ht="15.75" customHeight="1" x14ac:dyDescent="0.2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ht="15.75" customHeight="1" x14ac:dyDescent="0.2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ht="15.75" customHeight="1" x14ac:dyDescent="0.2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ht="15.75" customHeight="1" x14ac:dyDescent="0.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ht="15.75" customHeight="1" x14ac:dyDescent="0.2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ht="15.75" customHeight="1" x14ac:dyDescent="0.2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ht="15.75" customHeight="1" x14ac:dyDescent="0.2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ht="15.75" customHeight="1" x14ac:dyDescent="0.2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ht="15.75" customHeight="1" x14ac:dyDescent="0.2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ht="15.75" customHeight="1" x14ac:dyDescent="0.2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ht="15.75" customHeight="1" x14ac:dyDescent="0.2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ht="15.75" customHeight="1" x14ac:dyDescent="0.2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ht="15.75" customHeight="1" x14ac:dyDescent="0.2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ht="15.75" customHeight="1" x14ac:dyDescent="0.2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ht="15.75" customHeight="1" x14ac:dyDescent="0.2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ht="15.75" customHeight="1" x14ac:dyDescent="0.2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ht="15.75" customHeight="1" x14ac:dyDescent="0.2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ht="15.75" customHeight="1" x14ac:dyDescent="0.2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ht="15.75" customHeight="1" x14ac:dyDescent="0.2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ht="15.75" customHeight="1" x14ac:dyDescent="0.2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ht="15.75" customHeight="1" x14ac:dyDescent="0.2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ht="15.75" customHeight="1" x14ac:dyDescent="0.2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ht="15.75" customHeight="1" x14ac:dyDescent="0.2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ht="15.75" customHeight="1" x14ac:dyDescent="0.2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ht="15.75" customHeight="1" x14ac:dyDescent="0.2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ht="15.75" customHeight="1" x14ac:dyDescent="0.2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ht="15.75" customHeight="1" x14ac:dyDescent="0.2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ht="15.75" customHeight="1" x14ac:dyDescent="0.2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ht="15.75" customHeight="1" x14ac:dyDescent="0.2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ht="15.75" customHeight="1" x14ac:dyDescent="0.2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ht="15.75" customHeight="1" x14ac:dyDescent="0.2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ht="15.75" customHeight="1" x14ac:dyDescent="0.2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ht="15.75" customHeight="1" x14ac:dyDescent="0.2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ht="15.75" customHeight="1" x14ac:dyDescent="0.2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ht="15.75" customHeight="1" x14ac:dyDescent="0.2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ht="15.75" customHeight="1" x14ac:dyDescent="0.2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ht="15.75" customHeight="1" x14ac:dyDescent="0.2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ht="15.75" customHeight="1" x14ac:dyDescent="0.2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ht="15.75" customHeight="1" x14ac:dyDescent="0.2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ht="15.75" customHeight="1" x14ac:dyDescent="0.2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ht="15.75" customHeight="1" x14ac:dyDescent="0.2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ht="15.75" customHeight="1" x14ac:dyDescent="0.2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ht="15.75" customHeight="1" x14ac:dyDescent="0.2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ht="15.75" customHeight="1" x14ac:dyDescent="0.2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ht="15.75" customHeight="1" x14ac:dyDescent="0.2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ht="15.75" customHeight="1" x14ac:dyDescent="0.2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spans="1:29" ht="15.75" customHeight="1" x14ac:dyDescent="0.2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spans="1:29" ht="15.75" customHeight="1" x14ac:dyDescent="0.2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spans="1:29" ht="15.75" customHeight="1" x14ac:dyDescent="0.2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spans="1:29" ht="15.75" customHeight="1" x14ac:dyDescent="0.2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spans="1:29" ht="15.75" customHeight="1" x14ac:dyDescent="0.2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spans="1:29" ht="15.75" customHeight="1" x14ac:dyDescent="0.2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spans="1:29" ht="15.75" customHeight="1" x14ac:dyDescent="0.2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spans="1:29" ht="15.75" customHeight="1" x14ac:dyDescent="0.2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spans="1:29" ht="15.75" customHeight="1" x14ac:dyDescent="0.2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spans="1:29" ht="15.75" customHeight="1" x14ac:dyDescent="0.2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spans="1:29" ht="15.75" customHeight="1" x14ac:dyDescent="0.2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spans="1:29" ht="15.75" customHeight="1" x14ac:dyDescent="0.2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spans="1:29" ht="15.75" customHeight="1" x14ac:dyDescent="0.2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spans="1:29" ht="15.75" customHeight="1" x14ac:dyDescent="0.2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spans="1:29" ht="15.75" customHeight="1" x14ac:dyDescent="0.2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spans="1:29" ht="15.75" customHeight="1" x14ac:dyDescent="0.2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spans="1:29" ht="15.75" customHeight="1" x14ac:dyDescent="0.2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spans="1:29" ht="15.75" customHeight="1" x14ac:dyDescent="0.2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spans="1:29" ht="15.75" customHeight="1" x14ac:dyDescent="0.2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spans="1:29" ht="15.75" customHeight="1" x14ac:dyDescent="0.2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spans="1:29" ht="15.75" customHeight="1" x14ac:dyDescent="0.2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spans="1:29" ht="15.75" customHeight="1" x14ac:dyDescent="0.2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spans="1:29" ht="15.75" customHeight="1" x14ac:dyDescent="0.2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spans="1:29" ht="15.75" customHeight="1" x14ac:dyDescent="0.2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spans="1:29" ht="15.75" customHeight="1" x14ac:dyDescent="0.2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spans="1:29" ht="15.75" customHeight="1" x14ac:dyDescent="0.2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spans="1:29" ht="15.75" customHeight="1" x14ac:dyDescent="0.2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spans="1:29" ht="15.75" customHeight="1" x14ac:dyDescent="0.2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spans="1:29" ht="15.75" customHeight="1" x14ac:dyDescent="0.2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spans="1:29" ht="15.75" customHeight="1" x14ac:dyDescent="0.2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spans="1:29" ht="15.75" customHeight="1" x14ac:dyDescent="0.2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spans="1:29" ht="15.75" customHeight="1" x14ac:dyDescent="0.2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spans="1:29" ht="15.75" customHeight="1" x14ac:dyDescent="0.2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spans="1:29" ht="15.75" customHeight="1" x14ac:dyDescent="0.2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spans="1:29" ht="15.75" customHeight="1" x14ac:dyDescent="0.2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spans="1:29" ht="15.75" customHeight="1" x14ac:dyDescent="0.2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spans="1:29" ht="15.75" customHeight="1" x14ac:dyDescent="0.2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spans="1:29" ht="15.75" customHeight="1" x14ac:dyDescent="0.2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spans="1:29" ht="15.75" customHeight="1" x14ac:dyDescent="0.2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5.75" customHeight="1" x14ac:dyDescent="0.2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ht="15.75" customHeight="1" x14ac:dyDescent="0.2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spans="1:29" ht="15.75" customHeight="1" x14ac:dyDescent="0.2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spans="1:29" ht="15.75" customHeight="1" x14ac:dyDescent="0.2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spans="1:29" ht="15.75" customHeight="1" x14ac:dyDescent="0.2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spans="1:29" ht="15.75" customHeight="1" x14ac:dyDescent="0.2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spans="1:29" ht="15.75" customHeight="1" x14ac:dyDescent="0.2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spans="1:29" ht="15.75" customHeight="1" x14ac:dyDescent="0.2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spans="1:29" ht="15.75" customHeight="1" x14ac:dyDescent="0.2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spans="1:29" ht="15.75" customHeight="1" x14ac:dyDescent="0.2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spans="1:29" ht="15.75" customHeight="1" x14ac:dyDescent="0.2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spans="1:29" ht="15.75" customHeight="1" x14ac:dyDescent="0.2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spans="1:29" ht="15.75" customHeight="1" x14ac:dyDescent="0.2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spans="1:29" ht="15.75" customHeight="1" x14ac:dyDescent="0.2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spans="1:29" ht="15.75" customHeight="1" x14ac:dyDescent="0.2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spans="1:29" ht="15.75" customHeight="1" x14ac:dyDescent="0.2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spans="1:29" ht="15.75" customHeight="1" x14ac:dyDescent="0.2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spans="1:29" ht="15.75" customHeight="1" x14ac:dyDescent="0.2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spans="1:29" ht="15.75" customHeight="1" x14ac:dyDescent="0.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spans="1:29" ht="15.75" customHeight="1" x14ac:dyDescent="0.2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spans="1:29" ht="15.75" customHeight="1" x14ac:dyDescent="0.2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spans="1:29" ht="15.75" customHeight="1" x14ac:dyDescent="0.2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spans="1:29" ht="15.75" customHeight="1" x14ac:dyDescent="0.2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spans="1:29" ht="15.75" customHeight="1" x14ac:dyDescent="0.2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spans="1:29" ht="15.75" customHeight="1" x14ac:dyDescent="0.2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spans="1:29" ht="15.75" customHeight="1" x14ac:dyDescent="0.2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spans="1:29" ht="15.75" customHeight="1" x14ac:dyDescent="0.2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spans="1:29" ht="15.75" customHeight="1" x14ac:dyDescent="0.2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spans="1:29" ht="15.75" customHeight="1" x14ac:dyDescent="0.2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spans="1:29" ht="15.75" customHeight="1" x14ac:dyDescent="0.2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spans="1:29" ht="15.75" customHeight="1" x14ac:dyDescent="0.2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spans="1:29" ht="15.75" customHeight="1" x14ac:dyDescent="0.2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spans="1:29" ht="15.75" customHeight="1" x14ac:dyDescent="0.2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spans="1:29" ht="15.75" customHeight="1" x14ac:dyDescent="0.2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spans="1:29" ht="15.75" customHeight="1" x14ac:dyDescent="0.2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spans="1:29" ht="15.75" customHeight="1" x14ac:dyDescent="0.2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spans="1:29" ht="15.75" customHeight="1" x14ac:dyDescent="0.2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spans="1:29" ht="15.75" customHeight="1" x14ac:dyDescent="0.2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spans="1:29" ht="15.75" customHeight="1" x14ac:dyDescent="0.2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spans="1:29" ht="15.75" customHeight="1" x14ac:dyDescent="0.2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spans="1:29" ht="15.75" customHeight="1" x14ac:dyDescent="0.2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spans="1:29" ht="15.75" customHeight="1" x14ac:dyDescent="0.2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spans="1:29" ht="15.75" customHeight="1" x14ac:dyDescent="0.2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spans="1:29" ht="15.75" customHeight="1" x14ac:dyDescent="0.2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spans="1:29" ht="15.75" customHeight="1" x14ac:dyDescent="0.2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spans="1:29" ht="15.75" customHeight="1" x14ac:dyDescent="0.2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5.75" customHeight="1" x14ac:dyDescent="0.2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ht="15.75" customHeight="1" x14ac:dyDescent="0.2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spans="1:29" ht="15.75" customHeight="1" x14ac:dyDescent="0.2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spans="1:29" ht="15.75" customHeight="1" x14ac:dyDescent="0.2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spans="1:29" ht="15.75" customHeight="1" x14ac:dyDescent="0.2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spans="1:29" ht="15.75" customHeight="1" x14ac:dyDescent="0.2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spans="1:29" ht="15.75" customHeight="1" x14ac:dyDescent="0.2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spans="1:29" ht="15.75" customHeight="1" x14ac:dyDescent="0.2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spans="1:29" ht="15.75" customHeight="1" x14ac:dyDescent="0.2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spans="1:29" ht="15.75" customHeight="1" x14ac:dyDescent="0.2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spans="1:29" ht="15.75" customHeight="1" x14ac:dyDescent="0.2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spans="1:29" ht="15.75" customHeight="1" x14ac:dyDescent="0.2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spans="1:29" ht="15.75" customHeight="1" x14ac:dyDescent="0.2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spans="1:29" ht="15.75" customHeight="1" x14ac:dyDescent="0.2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spans="1:29" ht="15.75" customHeight="1" x14ac:dyDescent="0.2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spans="1:29" ht="15.75" customHeight="1" x14ac:dyDescent="0.2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spans="1:29" ht="15.75" customHeight="1" x14ac:dyDescent="0.2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spans="1:29" ht="15.75" customHeight="1" x14ac:dyDescent="0.2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spans="1:29" ht="15.75" customHeight="1" x14ac:dyDescent="0.2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spans="1:29" ht="15.75" customHeight="1" x14ac:dyDescent="0.2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ht="15.75" customHeight="1" x14ac:dyDescent="0.2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spans="1:29" ht="15.75" customHeight="1" x14ac:dyDescent="0.2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spans="1:29" ht="15.75" customHeight="1" x14ac:dyDescent="0.2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spans="1:29" ht="15.75" customHeight="1" x14ac:dyDescent="0.2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spans="1:29" ht="15.75" customHeight="1" x14ac:dyDescent="0.2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spans="1:29" ht="15.75" customHeight="1" x14ac:dyDescent="0.2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spans="1:29" ht="15.75" customHeight="1" x14ac:dyDescent="0.2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spans="1:29" ht="15.75" customHeight="1" x14ac:dyDescent="0.2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spans="1:29" ht="15.75" customHeight="1" x14ac:dyDescent="0.2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spans="1:29" ht="15.75" customHeight="1" x14ac:dyDescent="0.2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5.75" customHeight="1" x14ac:dyDescent="0.2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ht="15.75" customHeight="1" x14ac:dyDescent="0.2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spans="1:29" ht="15.75" customHeight="1" x14ac:dyDescent="0.2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spans="1:29" ht="15.75" customHeight="1" x14ac:dyDescent="0.2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spans="1:29" ht="15.75" customHeight="1" x14ac:dyDescent="0.2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spans="1:29" ht="15.75" customHeight="1" x14ac:dyDescent="0.2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spans="1:29" ht="15.75" customHeight="1" x14ac:dyDescent="0.2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spans="1:29" ht="15.75" customHeight="1" x14ac:dyDescent="0.2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spans="1:29" ht="15.75" customHeight="1" x14ac:dyDescent="0.2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spans="1:29" ht="15.75" customHeight="1" x14ac:dyDescent="0.2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spans="1:29" ht="15.75" customHeight="1" x14ac:dyDescent="0.2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spans="1:29" ht="15.75" customHeight="1" x14ac:dyDescent="0.2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spans="1:29" ht="15.75" customHeight="1" x14ac:dyDescent="0.2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spans="1:29" ht="15.75" customHeight="1" x14ac:dyDescent="0.2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spans="1:29" ht="15.75" customHeight="1" x14ac:dyDescent="0.2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spans="1:29" ht="15.75" customHeight="1" x14ac:dyDescent="0.2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spans="1:29" ht="15.75" customHeight="1" x14ac:dyDescent="0.2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spans="1:29" ht="15.75" customHeight="1" x14ac:dyDescent="0.2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spans="1:29" ht="15.75" customHeight="1" x14ac:dyDescent="0.2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spans="1:29" ht="15.75" customHeight="1" x14ac:dyDescent="0.2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spans="1:29" ht="15.75" customHeight="1" x14ac:dyDescent="0.2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spans="1:29" ht="15.75" customHeight="1" x14ac:dyDescent="0.2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spans="1:29" ht="15.75" customHeight="1" x14ac:dyDescent="0.2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spans="1:29" ht="15.75" customHeight="1" x14ac:dyDescent="0.2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spans="1:29" ht="15.75" customHeight="1" x14ac:dyDescent="0.2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spans="1:29" ht="15.75" customHeight="1" x14ac:dyDescent="0.2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spans="1:29" ht="15.75" customHeight="1" x14ac:dyDescent="0.2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spans="1:29" ht="15.75" customHeight="1" x14ac:dyDescent="0.2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spans="1:29" ht="15.75" customHeight="1" x14ac:dyDescent="0.2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spans="1:29" ht="15.75" customHeight="1" x14ac:dyDescent="0.2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spans="1:29" ht="15.75" customHeight="1" x14ac:dyDescent="0.2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spans="1:29" ht="15.75" customHeight="1" x14ac:dyDescent="0.2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spans="1:29" ht="15.75" customHeight="1" x14ac:dyDescent="0.2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spans="1:29" ht="15.75" customHeight="1" x14ac:dyDescent="0.2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spans="1:29" ht="15.75" customHeight="1" x14ac:dyDescent="0.2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spans="1:29" ht="15.75" customHeight="1" x14ac:dyDescent="0.2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spans="1:29" ht="15.75" customHeight="1" x14ac:dyDescent="0.2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spans="1:29" ht="15.75" customHeight="1" x14ac:dyDescent="0.2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spans="1:29" ht="15.75" customHeight="1" x14ac:dyDescent="0.2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spans="1:29" ht="15.75" customHeight="1" x14ac:dyDescent="0.2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spans="1:29" ht="15.75" customHeight="1" x14ac:dyDescent="0.2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spans="1:29" ht="15.75" customHeight="1" x14ac:dyDescent="0.2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spans="1:29" ht="15.75" customHeight="1" x14ac:dyDescent="0.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spans="1:29" ht="15.75" customHeight="1" x14ac:dyDescent="0.2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spans="1:29" ht="15.75" customHeight="1" x14ac:dyDescent="0.2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spans="1:29" ht="15.75" customHeight="1" x14ac:dyDescent="0.2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spans="1:29" ht="15.75" customHeight="1" x14ac:dyDescent="0.2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spans="1:29" ht="15.75" customHeight="1" x14ac:dyDescent="0.2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spans="1:29" ht="15.75" customHeight="1" x14ac:dyDescent="0.2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spans="1:29" ht="15.75" customHeight="1" x14ac:dyDescent="0.2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spans="1:29" ht="15.75" customHeight="1" x14ac:dyDescent="0.2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spans="1:29" ht="15.75" customHeight="1" x14ac:dyDescent="0.2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spans="1:29" ht="15.75" customHeight="1" x14ac:dyDescent="0.2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spans="1:29" ht="15.75" customHeight="1" x14ac:dyDescent="0.2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spans="1:29" ht="15.75" customHeight="1" x14ac:dyDescent="0.2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spans="1:29" ht="15.75" customHeight="1" x14ac:dyDescent="0.2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spans="1:29" ht="15.75" customHeight="1" x14ac:dyDescent="0.2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spans="1:29" ht="15.75" customHeight="1" x14ac:dyDescent="0.2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spans="1:29" ht="15.75" customHeight="1" x14ac:dyDescent="0.2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spans="1:29" ht="15.75" customHeight="1" x14ac:dyDescent="0.2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spans="1:29" ht="15.75" customHeight="1" x14ac:dyDescent="0.2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spans="1:29" ht="15.75" customHeight="1" x14ac:dyDescent="0.2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spans="1:29" ht="15.75" customHeight="1" x14ac:dyDescent="0.2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spans="1:29" ht="15.75" customHeight="1" x14ac:dyDescent="0.2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spans="1:29" ht="15.75" customHeight="1" x14ac:dyDescent="0.2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spans="1:29" ht="15.75" customHeight="1" x14ac:dyDescent="0.2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spans="1:29" ht="15.75" customHeight="1" x14ac:dyDescent="0.2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spans="1:29" ht="15.75" customHeight="1" x14ac:dyDescent="0.2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spans="1:29" ht="15.75" customHeight="1" x14ac:dyDescent="0.2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spans="1:29" ht="15.75" customHeight="1" x14ac:dyDescent="0.2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spans="1:29" ht="15.75" customHeight="1" x14ac:dyDescent="0.2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spans="1:29" ht="15.75" customHeight="1" x14ac:dyDescent="0.2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spans="1:29" ht="15.75" customHeight="1" x14ac:dyDescent="0.2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spans="1:29" ht="15.75" customHeight="1" x14ac:dyDescent="0.2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spans="1:29" ht="15.75" customHeight="1" x14ac:dyDescent="0.2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spans="1:29" ht="15.75" customHeight="1" x14ac:dyDescent="0.2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spans="1:29" ht="15.75" customHeight="1" x14ac:dyDescent="0.2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5.75" customHeight="1" x14ac:dyDescent="0.2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ht="15.75" customHeight="1" x14ac:dyDescent="0.2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spans="1:29" ht="15.75" customHeight="1" x14ac:dyDescent="0.2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spans="1:29" ht="15.75" customHeight="1" x14ac:dyDescent="0.2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spans="1:29" ht="15.75" customHeight="1" x14ac:dyDescent="0.2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spans="1:29" ht="15.75" customHeight="1" x14ac:dyDescent="0.2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spans="1:29" ht="15.75" customHeight="1" x14ac:dyDescent="0.2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spans="1:29" ht="15.75" customHeight="1" x14ac:dyDescent="0.2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spans="1:29" ht="15.75" customHeight="1" x14ac:dyDescent="0.2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spans="1:29" ht="15.75" customHeight="1" x14ac:dyDescent="0.2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spans="1:29" ht="15.75" customHeight="1" x14ac:dyDescent="0.2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spans="1:29" ht="15.75" customHeight="1" x14ac:dyDescent="0.2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spans="1:29" ht="15.75" customHeight="1" x14ac:dyDescent="0.2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spans="1:29" ht="15.75" customHeight="1" x14ac:dyDescent="0.2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spans="1:29" ht="15.75" customHeight="1" x14ac:dyDescent="0.2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spans="1:29" ht="15.75" customHeight="1" x14ac:dyDescent="0.2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spans="1:29" ht="15.75" customHeight="1" x14ac:dyDescent="0.2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spans="1:29" ht="15.75" customHeight="1" x14ac:dyDescent="0.2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5.75" customHeight="1" x14ac:dyDescent="0.2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ht="15.75" customHeight="1" x14ac:dyDescent="0.2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spans="1:29" ht="15.75" customHeight="1" x14ac:dyDescent="0.2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spans="1:29" ht="15.75" customHeight="1" x14ac:dyDescent="0.2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spans="1:29" ht="15.75" customHeight="1" x14ac:dyDescent="0.2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spans="1:29" ht="15.75" customHeight="1" x14ac:dyDescent="0.2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spans="1:29" ht="15.75" customHeight="1" x14ac:dyDescent="0.2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spans="1:29" ht="15.75" customHeight="1" x14ac:dyDescent="0.2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spans="1:29" ht="15.75" customHeight="1" x14ac:dyDescent="0.2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spans="1:29" ht="15.75" customHeight="1" x14ac:dyDescent="0.2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spans="1:29" ht="15.75" customHeight="1" x14ac:dyDescent="0.2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spans="1:29" ht="15.75" customHeight="1" x14ac:dyDescent="0.2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spans="1:29" ht="15.75" customHeight="1" x14ac:dyDescent="0.2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spans="1:29" ht="15.75" customHeight="1" x14ac:dyDescent="0.2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spans="1:29" ht="15.75" customHeight="1" x14ac:dyDescent="0.2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spans="1:29" ht="15.75" customHeight="1" x14ac:dyDescent="0.2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spans="1:29" ht="15.75" customHeight="1" x14ac:dyDescent="0.2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spans="1:29" ht="15.75" customHeight="1" x14ac:dyDescent="0.2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spans="1:29" ht="15.75" customHeight="1" x14ac:dyDescent="0.2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ht="15.75" customHeight="1" x14ac:dyDescent="0.2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spans="1:29" ht="15.75" customHeight="1" x14ac:dyDescent="0.2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spans="1:29" ht="15.75" customHeight="1" x14ac:dyDescent="0.2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spans="1:29" ht="15.75" customHeight="1" x14ac:dyDescent="0.2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spans="1:29" ht="15.75" customHeight="1" x14ac:dyDescent="0.2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spans="1:29" ht="15.75" customHeight="1" x14ac:dyDescent="0.2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spans="1:29" ht="15.75" customHeight="1" x14ac:dyDescent="0.2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spans="1:29" ht="15.75" customHeight="1" x14ac:dyDescent="0.2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spans="1:29" ht="15.75" customHeight="1" x14ac:dyDescent="0.2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spans="1:29" ht="15.75" customHeight="1" x14ac:dyDescent="0.2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5.75" customHeight="1" x14ac:dyDescent="0.2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ht="15.75" customHeight="1" x14ac:dyDescent="0.2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spans="1:29" ht="15.75" customHeight="1" x14ac:dyDescent="0.2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spans="1:29" ht="15.75" customHeight="1" x14ac:dyDescent="0.2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spans="1:29" ht="15.75" customHeight="1" x14ac:dyDescent="0.2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spans="1:29" ht="15.75" customHeight="1" x14ac:dyDescent="0.2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spans="1:29" ht="15.75" customHeight="1" x14ac:dyDescent="0.2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spans="1:29" ht="15.75" customHeight="1" x14ac:dyDescent="0.2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spans="1:29" ht="15.75" customHeight="1" x14ac:dyDescent="0.2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spans="1:29" ht="15.75" customHeight="1" x14ac:dyDescent="0.2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spans="1:29" ht="15.75" customHeight="1" x14ac:dyDescent="0.2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spans="1:29" ht="15.75" customHeight="1" x14ac:dyDescent="0.2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spans="1:29" ht="15.75" customHeight="1" x14ac:dyDescent="0.2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spans="1:29" ht="15.75" customHeight="1" x14ac:dyDescent="0.2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spans="1:29" ht="15.75" customHeight="1" x14ac:dyDescent="0.2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spans="1:29" ht="15.75" customHeight="1" x14ac:dyDescent="0.2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spans="1:29" ht="15.75" customHeight="1" x14ac:dyDescent="0.2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spans="1:29" ht="15.75" customHeight="1" x14ac:dyDescent="0.2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spans="1:29" ht="15.75" customHeight="1" x14ac:dyDescent="0.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spans="1:29" ht="15.75" customHeight="1" x14ac:dyDescent="0.2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spans="1:29" ht="15.75" customHeight="1" x14ac:dyDescent="0.2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spans="1:29" ht="15.75" customHeight="1" x14ac:dyDescent="0.2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spans="1:29" ht="15.75" customHeight="1" x14ac:dyDescent="0.2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spans="1:29" ht="15.75" customHeight="1" x14ac:dyDescent="0.2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spans="1:29" ht="15.75" customHeight="1" x14ac:dyDescent="0.2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spans="1:29" ht="15.75" customHeight="1" x14ac:dyDescent="0.2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spans="1:29" ht="15.75" customHeight="1" x14ac:dyDescent="0.2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spans="1:29" ht="15.75" customHeight="1" x14ac:dyDescent="0.2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spans="1:29" ht="15.75" customHeight="1" x14ac:dyDescent="0.2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5.75" customHeight="1" x14ac:dyDescent="0.2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ht="15.75" customHeight="1" x14ac:dyDescent="0.2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spans="1:29" ht="15.75" customHeight="1" x14ac:dyDescent="0.2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spans="1:29" ht="15.75" customHeight="1" x14ac:dyDescent="0.2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spans="1:29" ht="15.75" customHeight="1" x14ac:dyDescent="0.2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spans="1:29" ht="15.75" customHeight="1" x14ac:dyDescent="0.2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spans="1:29" ht="15.75" customHeight="1" x14ac:dyDescent="0.2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spans="1:29" ht="15.75" customHeight="1" x14ac:dyDescent="0.2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spans="1:29" ht="15.75" customHeight="1" x14ac:dyDescent="0.2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spans="1:29" ht="15.75" customHeight="1" x14ac:dyDescent="0.2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spans="1:29" ht="15.75" customHeight="1" x14ac:dyDescent="0.2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spans="1:29" ht="15.75" customHeight="1" x14ac:dyDescent="0.2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spans="1:29" ht="15.75" customHeight="1" x14ac:dyDescent="0.2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spans="1:29" ht="15.75" customHeight="1" x14ac:dyDescent="0.2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spans="1:29" ht="15.75" customHeight="1" x14ac:dyDescent="0.2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spans="1:29" ht="15.75" customHeight="1" x14ac:dyDescent="0.2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spans="1:29" ht="15.75" customHeight="1" x14ac:dyDescent="0.2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spans="1:29" ht="15.75" customHeight="1" x14ac:dyDescent="0.2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spans="1:29" ht="15.75" customHeight="1" x14ac:dyDescent="0.2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spans="1:29" ht="15.75" customHeight="1" x14ac:dyDescent="0.2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spans="1:29" ht="15.75" customHeight="1" x14ac:dyDescent="0.2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spans="1:29" ht="15.75" customHeight="1" x14ac:dyDescent="0.2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spans="1:29" ht="15.75" customHeight="1" x14ac:dyDescent="0.2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spans="1:29" ht="15.75" customHeight="1" x14ac:dyDescent="0.2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spans="1:29" ht="15.75" customHeight="1" x14ac:dyDescent="0.2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spans="1:29" ht="15.75" customHeight="1" x14ac:dyDescent="0.2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spans="1:29" ht="15.75" customHeight="1" x14ac:dyDescent="0.2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spans="1:29" ht="15.75" customHeight="1" x14ac:dyDescent="0.2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spans="1:29" ht="15.75" customHeight="1" x14ac:dyDescent="0.2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spans="1:29" ht="15.75" customHeight="1" x14ac:dyDescent="0.2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spans="1:29" ht="15.75" customHeight="1" x14ac:dyDescent="0.2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spans="1:29" ht="15.75" customHeight="1" x14ac:dyDescent="0.2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spans="1:29" ht="15.75" customHeight="1" x14ac:dyDescent="0.2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spans="1:29" ht="15.75" customHeight="1" x14ac:dyDescent="0.2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spans="1:29" ht="15.75" customHeight="1" x14ac:dyDescent="0.2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spans="1:29" ht="15.75" customHeight="1" x14ac:dyDescent="0.2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spans="1:29" ht="15.75" customHeight="1" x14ac:dyDescent="0.2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spans="1:29" ht="15.75" customHeight="1" x14ac:dyDescent="0.2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spans="1:29" ht="15.75" customHeight="1" x14ac:dyDescent="0.2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spans="1:29" ht="15.75" customHeight="1" x14ac:dyDescent="0.2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spans="1:29" ht="15.75" customHeight="1" x14ac:dyDescent="0.2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spans="1:29" ht="15.75" customHeight="1" x14ac:dyDescent="0.2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spans="1:29" ht="15.75" customHeight="1" x14ac:dyDescent="0.2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spans="1:29" ht="15.75" customHeight="1" x14ac:dyDescent="0.2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spans="1:29" ht="15.75" customHeight="1" x14ac:dyDescent="0.2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spans="1:29" ht="15.75" customHeight="1" x14ac:dyDescent="0.2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spans="1:29" ht="15.75" customHeight="1" x14ac:dyDescent="0.2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ht="15.75" customHeight="1" x14ac:dyDescent="0.2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5.75" customHeight="1" x14ac:dyDescent="0.2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ht="15.75" customHeight="1" x14ac:dyDescent="0.2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spans="1:29" ht="15.75" customHeight="1" x14ac:dyDescent="0.2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spans="1:29" ht="15.75" customHeight="1" x14ac:dyDescent="0.2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spans="1:29" ht="15.75" customHeight="1" x14ac:dyDescent="0.2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spans="1:29" ht="15.75" customHeight="1" x14ac:dyDescent="0.2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spans="1:29" ht="15.75" customHeight="1" x14ac:dyDescent="0.2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spans="1:29" ht="15.75" customHeight="1" x14ac:dyDescent="0.2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spans="1:29" ht="15.75" customHeight="1" x14ac:dyDescent="0.2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spans="1:29" ht="15.75" customHeight="1" x14ac:dyDescent="0.2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spans="1:29" ht="15.75" customHeight="1" x14ac:dyDescent="0.2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spans="1:29" ht="15.75" customHeight="1" x14ac:dyDescent="0.2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spans="1:29" ht="15.75" customHeight="1" x14ac:dyDescent="0.2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spans="1:29" ht="15.75" customHeight="1" x14ac:dyDescent="0.2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spans="1:29" ht="15.75" customHeight="1" x14ac:dyDescent="0.2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spans="1:29" ht="15.75" customHeight="1" x14ac:dyDescent="0.2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spans="1:29" ht="15.75" customHeight="1" x14ac:dyDescent="0.2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spans="1:29" ht="15.75" customHeight="1" x14ac:dyDescent="0.2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ht="15.75" customHeight="1" x14ac:dyDescent="0.2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spans="1:29" ht="15.75" customHeight="1" x14ac:dyDescent="0.2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spans="1:29" ht="15.75" customHeight="1" x14ac:dyDescent="0.2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spans="1:29" ht="15.75" customHeight="1" x14ac:dyDescent="0.2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spans="1:29" ht="15.75" customHeight="1" x14ac:dyDescent="0.2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spans="1:29" ht="15.75" customHeight="1" x14ac:dyDescent="0.2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spans="1:29" ht="15.75" customHeight="1" x14ac:dyDescent="0.2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spans="1:29" ht="15.75" customHeight="1" x14ac:dyDescent="0.2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spans="1:29" ht="15.75" customHeight="1" x14ac:dyDescent="0.2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spans="1:29" ht="15.75" customHeight="1" x14ac:dyDescent="0.2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spans="1:29" ht="15.75" customHeight="1" x14ac:dyDescent="0.2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5.75" customHeight="1" x14ac:dyDescent="0.2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ht="15.75" customHeight="1" x14ac:dyDescent="0.2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spans="1:29" ht="15.75" customHeight="1" x14ac:dyDescent="0.2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spans="1:29" ht="15.75" customHeight="1" x14ac:dyDescent="0.2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spans="1:29" ht="15.75" customHeight="1" x14ac:dyDescent="0.2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spans="1:29" ht="15.75" customHeight="1" x14ac:dyDescent="0.2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spans="1:29" ht="15.75" customHeight="1" x14ac:dyDescent="0.2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spans="1:29" ht="15.75" customHeight="1" x14ac:dyDescent="0.2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spans="1:29" ht="15.75" customHeight="1" x14ac:dyDescent="0.2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spans="1:29" ht="15.75" customHeight="1" x14ac:dyDescent="0.2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spans="1:29" ht="15.75" customHeight="1" x14ac:dyDescent="0.2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spans="1:29" ht="15.75" customHeight="1" x14ac:dyDescent="0.2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spans="1:29" ht="15.75" customHeight="1" x14ac:dyDescent="0.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spans="1:29" ht="15.75" customHeight="1" x14ac:dyDescent="0.2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spans="1:29" ht="15.75" customHeight="1" x14ac:dyDescent="0.2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spans="1:29" ht="15.75" customHeight="1" x14ac:dyDescent="0.2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spans="1:29" ht="15.75" customHeight="1" x14ac:dyDescent="0.2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spans="1:29" ht="15.75" customHeight="1" x14ac:dyDescent="0.2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spans="1:29" ht="15.75" customHeight="1" x14ac:dyDescent="0.2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spans="1:29" ht="15.75" customHeight="1" x14ac:dyDescent="0.2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spans="1:29" ht="15.75" customHeight="1" x14ac:dyDescent="0.2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spans="1:29" ht="15.75" customHeight="1" x14ac:dyDescent="0.2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spans="1:29" ht="15.75" customHeight="1" x14ac:dyDescent="0.2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spans="1:29" ht="15.75" customHeight="1" x14ac:dyDescent="0.2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spans="1:29" ht="15.75" customHeight="1" x14ac:dyDescent="0.2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spans="1:29" ht="15.75" customHeight="1" x14ac:dyDescent="0.2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spans="1:29" ht="15.75" customHeight="1" x14ac:dyDescent="0.2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spans="1:29" ht="15.75" customHeight="1" x14ac:dyDescent="0.2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spans="1:29" ht="15.75" customHeight="1" x14ac:dyDescent="0.2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spans="1:29" ht="15.75" customHeight="1" x14ac:dyDescent="0.2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spans="1:29" ht="15.75" customHeight="1" x14ac:dyDescent="0.2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spans="1:29" ht="15.75" customHeight="1" x14ac:dyDescent="0.2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spans="1:29" ht="15.75" customHeight="1" x14ac:dyDescent="0.2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spans="1:29" ht="15.75" customHeight="1" x14ac:dyDescent="0.2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spans="1:29" ht="15.75" customHeight="1" x14ac:dyDescent="0.2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ht="15.75" customHeight="1" x14ac:dyDescent="0.2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5.75" customHeight="1" x14ac:dyDescent="0.2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ht="15.75" customHeight="1" x14ac:dyDescent="0.2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spans="1:29" ht="15.75" customHeight="1" x14ac:dyDescent="0.2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spans="1:29" ht="15.75" customHeight="1" x14ac:dyDescent="0.2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spans="1:29" ht="15.75" customHeight="1" x14ac:dyDescent="0.2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spans="1:29" ht="15.75" customHeight="1" x14ac:dyDescent="0.2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spans="1:29" ht="15.75" customHeight="1" x14ac:dyDescent="0.2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spans="1:29" ht="15.75" customHeight="1" x14ac:dyDescent="0.2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spans="1:29" ht="15.75" customHeight="1" x14ac:dyDescent="0.2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spans="1:29" ht="15.75" customHeight="1" x14ac:dyDescent="0.2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spans="1:29" ht="15.75" customHeight="1" x14ac:dyDescent="0.2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spans="1:29" ht="15.75" customHeight="1" x14ac:dyDescent="0.2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spans="1:29" ht="15.75" customHeight="1" x14ac:dyDescent="0.2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spans="1:29" ht="15.75" customHeight="1" x14ac:dyDescent="0.2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spans="1:29" ht="15.75" customHeight="1" x14ac:dyDescent="0.2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spans="1:29" ht="15.75" customHeight="1" x14ac:dyDescent="0.2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spans="1:29" ht="15.75" customHeight="1" x14ac:dyDescent="0.2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spans="1:29" ht="15.75" customHeight="1" x14ac:dyDescent="0.2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spans="1:29" ht="15.75" customHeight="1" x14ac:dyDescent="0.2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spans="1:29" ht="15.75" customHeight="1" x14ac:dyDescent="0.2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spans="1:29" ht="15.75" customHeight="1" x14ac:dyDescent="0.2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spans="1:29" ht="15.75" customHeight="1" x14ac:dyDescent="0.2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spans="1:29" ht="15.75" customHeight="1" x14ac:dyDescent="0.2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spans="1:29" ht="15.75" customHeight="1" x14ac:dyDescent="0.2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spans="1:29" ht="15.75" customHeight="1" x14ac:dyDescent="0.2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spans="1:29" ht="15.75" customHeight="1" x14ac:dyDescent="0.2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spans="1:29" ht="15.75" customHeight="1" x14ac:dyDescent="0.2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spans="1:29" ht="15.75" customHeight="1" x14ac:dyDescent="0.2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spans="1:29" ht="15.75" customHeight="1" x14ac:dyDescent="0.2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spans="1:29" ht="15.75" customHeight="1" x14ac:dyDescent="0.2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spans="1:29" ht="15.75" customHeight="1" x14ac:dyDescent="0.2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spans="1:29" ht="15.75" customHeight="1" x14ac:dyDescent="0.2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spans="1:29" ht="15.75" customHeight="1" x14ac:dyDescent="0.2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spans="1:29" ht="15.75" customHeight="1" x14ac:dyDescent="0.2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spans="1:29" ht="15.75" customHeight="1" x14ac:dyDescent="0.2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spans="1:29" ht="15.75" customHeight="1" x14ac:dyDescent="0.2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spans="1:29" ht="15.75" customHeight="1" x14ac:dyDescent="0.2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spans="1:29" ht="15.75" customHeight="1" x14ac:dyDescent="0.2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spans="1:29" ht="15.75" customHeight="1" x14ac:dyDescent="0.2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spans="1:29" ht="15.75" customHeight="1" x14ac:dyDescent="0.2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spans="1:29" ht="15.75" customHeight="1" x14ac:dyDescent="0.2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spans="1:29" ht="15.75" customHeight="1" x14ac:dyDescent="0.2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spans="1:29" ht="15.75" customHeight="1" x14ac:dyDescent="0.2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spans="1:29" ht="15.75" customHeight="1" x14ac:dyDescent="0.2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spans="1:29" ht="15.75" customHeight="1" x14ac:dyDescent="0.2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spans="1:29" ht="15.75" customHeight="1" x14ac:dyDescent="0.2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spans="1:29" ht="15.75" customHeight="1" x14ac:dyDescent="0.2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spans="1:29" ht="15.75" customHeight="1" x14ac:dyDescent="0.2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spans="1:29" ht="15.75" customHeight="1" x14ac:dyDescent="0.2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spans="1:29" ht="15.75" customHeight="1" x14ac:dyDescent="0.2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spans="1:29" ht="15.75" customHeight="1" x14ac:dyDescent="0.2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spans="1:29" ht="15.75" customHeight="1" x14ac:dyDescent="0.2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spans="1:29" ht="15.75" customHeight="1" x14ac:dyDescent="0.25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spans="1:29" ht="15.75" customHeight="1" x14ac:dyDescent="0.25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  <c r="R1002" s="82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spans="1:29" ht="15.75" customHeight="1" x14ac:dyDescent="0.25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  <c r="R1003" s="82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 spans="1:29" ht="15.75" customHeight="1" x14ac:dyDescent="0.25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  <c r="R1004" s="82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spans="1:29" ht="15.75" customHeight="1" x14ac:dyDescent="0.25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  <c r="M1005" s="82"/>
      <c r="N1005" s="82"/>
      <c r="O1005" s="82"/>
      <c r="P1005" s="82"/>
      <c r="Q1005" s="82"/>
      <c r="R1005" s="82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</row>
    <row r="1006" spans="1:29" ht="15.75" customHeight="1" x14ac:dyDescent="0.25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  <c r="M1006" s="82"/>
      <c r="N1006" s="82"/>
      <c r="O1006" s="82"/>
      <c r="P1006" s="82"/>
      <c r="Q1006" s="82"/>
      <c r="R1006" s="82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  <row r="1007" spans="1:29" ht="15.75" customHeight="1" x14ac:dyDescent="0.25">
      <c r="A1007" s="82"/>
      <c r="B1007" s="82"/>
      <c r="C1007" s="82"/>
      <c r="D1007" s="82"/>
      <c r="E1007" s="82"/>
      <c r="F1007" s="82"/>
      <c r="G1007" s="82"/>
      <c r="H1007" s="82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</row>
    <row r="1008" spans="1:29" ht="15.75" customHeight="1" x14ac:dyDescent="0.25">
      <c r="A1008" s="82"/>
      <c r="B1008" s="82"/>
      <c r="C1008" s="82"/>
      <c r="D1008" s="82"/>
      <c r="E1008" s="82"/>
      <c r="F1008" s="82"/>
      <c r="G1008" s="82"/>
      <c r="H1008" s="82"/>
      <c r="I1008" s="82"/>
      <c r="J1008" s="82"/>
      <c r="K1008" s="82"/>
      <c r="L1008" s="82"/>
      <c r="M1008" s="82"/>
      <c r="N1008" s="82"/>
      <c r="O1008" s="82"/>
      <c r="P1008" s="82"/>
      <c r="Q1008" s="82"/>
      <c r="R1008" s="82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</row>
  </sheetData>
  <mergeCells count="21">
    <mergeCell ref="Q18:Q19"/>
    <mergeCell ref="B15:R16"/>
    <mergeCell ref="L18:L19"/>
    <mergeCell ref="I18:I19"/>
    <mergeCell ref="L17:R17"/>
    <mergeCell ref="E17:E19"/>
    <mergeCell ref="G17:G19"/>
    <mergeCell ref="J18:J19"/>
    <mergeCell ref="R18:R19"/>
    <mergeCell ref="D17:D19"/>
    <mergeCell ref="M18:M19"/>
    <mergeCell ref="P18:P19"/>
    <mergeCell ref="H18:H19"/>
    <mergeCell ref="B17:B19"/>
    <mergeCell ref="H17:K17"/>
    <mergeCell ref="K18:K19"/>
    <mergeCell ref="F17:F19"/>
    <mergeCell ref="O18:O19"/>
    <mergeCell ref="N18:N19"/>
    <mergeCell ref="C17:C19"/>
    <mergeCell ref="B1:J1"/>
  </mergeCells>
  <dataValidations count="2">
    <dataValidation type="list" allowBlank="1" showErrorMessage="1" sqref="K20:K24" xr:uid="{00000000-0002-0000-0100-000000000000}">
      <formula1>"To do,In progress,Review,Done"</formula1>
    </dataValidation>
    <dataValidation type="list" allowBlank="1" showErrorMessage="1" sqref="R20:R24" xr:uid="{00000000-0002-0000-0100-000001000000}">
      <formula1>"To do,Testing,Fix bug,Regression,Done"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13.88671875" style="86" customWidth="1"/>
    <col min="2" max="2" width="80.77734375" style="86" customWidth="1"/>
    <col min="3" max="3" width="12.6640625" style="86" customWidth="1"/>
    <col min="4" max="4" width="14.77734375" style="86" customWidth="1"/>
    <col min="5" max="6" width="12.6640625" style="86" customWidth="1"/>
  </cols>
  <sheetData>
    <row r="1" spans="1:26" ht="32.25" customHeight="1" x14ac:dyDescent="0.25">
      <c r="A1" s="120" t="s">
        <v>58</v>
      </c>
      <c r="B1" s="96"/>
      <c r="C1" s="96"/>
      <c r="D1" s="96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 x14ac:dyDescent="0.25">
      <c r="A2" s="123"/>
      <c r="B2" s="96"/>
      <c r="C2" s="96"/>
      <c r="D2" s="9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 x14ac:dyDescent="0.25">
      <c r="A3" s="121" t="s">
        <v>59</v>
      </c>
      <c r="B3" s="122"/>
      <c r="C3" s="122"/>
      <c r="D3" s="12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 x14ac:dyDescent="0.25">
      <c r="A4" s="28" t="s">
        <v>60</v>
      </c>
      <c r="B4" s="29" t="s">
        <v>61</v>
      </c>
      <c r="C4" s="30" t="s">
        <v>18</v>
      </c>
      <c r="D4" s="31" t="s">
        <v>62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8" customHeight="1" x14ac:dyDescent="0.25">
      <c r="A5" s="32">
        <v>46129</v>
      </c>
      <c r="B5" s="33" t="s">
        <v>63</v>
      </c>
      <c r="C5" s="34">
        <v>0.1</v>
      </c>
      <c r="D5" s="34" t="s">
        <v>11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 x14ac:dyDescent="0.25">
      <c r="A6" s="35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 x14ac:dyDescent="0.25">
      <c r="A7" s="3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 x14ac:dyDescent="0.25">
      <c r="A8" s="35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 x14ac:dyDescent="0.25">
      <c r="A9" s="35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 x14ac:dyDescent="0.25">
      <c r="A10" s="3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 x14ac:dyDescent="0.25">
      <c r="A11" s="3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 x14ac:dyDescent="0.25">
      <c r="A12" s="3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 x14ac:dyDescent="0.25">
      <c r="A13" s="3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 x14ac:dyDescent="0.25">
      <c r="A14" s="3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 x14ac:dyDescent="0.25">
      <c r="A15" s="3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 x14ac:dyDescent="0.25">
      <c r="A16" s="3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 x14ac:dyDescent="0.25">
      <c r="A17" s="3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 x14ac:dyDescent="0.25">
      <c r="A18" s="3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 x14ac:dyDescent="0.25">
      <c r="A19" s="35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 x14ac:dyDescent="0.25">
      <c r="A20" s="35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 x14ac:dyDescent="0.25">
      <c r="A21" s="35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 x14ac:dyDescent="0.25">
      <c r="A22" s="35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 x14ac:dyDescent="0.25">
      <c r="A23" s="35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 x14ac:dyDescent="0.25">
      <c r="A24" s="35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 x14ac:dyDescent="0.25">
      <c r="A25" s="35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 x14ac:dyDescent="0.25">
      <c r="A26" s="35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 x14ac:dyDescent="0.25">
      <c r="A27" s="35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 x14ac:dyDescent="0.25">
      <c r="A28" s="35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 x14ac:dyDescent="0.25">
      <c r="A29" s="35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 x14ac:dyDescent="0.25">
      <c r="A30" s="35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 x14ac:dyDescent="0.25">
      <c r="A31" s="35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 x14ac:dyDescent="0.25">
      <c r="A32" s="35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 x14ac:dyDescent="0.25">
      <c r="A33" s="3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 x14ac:dyDescent="0.25">
      <c r="A34" s="35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 x14ac:dyDescent="0.25">
      <c r="A35" s="3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 x14ac:dyDescent="0.25">
      <c r="A36" s="3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 x14ac:dyDescent="0.25">
      <c r="A37" s="35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 x14ac:dyDescent="0.25">
      <c r="A38" s="35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 x14ac:dyDescent="0.25">
      <c r="A39" s="35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 x14ac:dyDescent="0.25">
      <c r="A40" s="3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 x14ac:dyDescent="0.25">
      <c r="A41" s="3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 x14ac:dyDescent="0.25">
      <c r="A42" s="3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 x14ac:dyDescent="0.25">
      <c r="A43" s="3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 x14ac:dyDescent="0.25">
      <c r="A44" s="3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 x14ac:dyDescent="0.25">
      <c r="A45" s="3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 x14ac:dyDescent="0.25">
      <c r="A46" s="3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 x14ac:dyDescent="0.25">
      <c r="A47" s="3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 x14ac:dyDescent="0.25">
      <c r="A48" s="3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 x14ac:dyDescent="0.25">
      <c r="A49" s="3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 x14ac:dyDescent="0.25">
      <c r="A50" s="35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 x14ac:dyDescent="0.25">
      <c r="A51" s="35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 x14ac:dyDescent="0.25">
      <c r="A52" s="35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 x14ac:dyDescent="0.25">
      <c r="A53" s="35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 x14ac:dyDescent="0.25">
      <c r="A54" s="3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 x14ac:dyDescent="0.25">
      <c r="A55" s="35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 x14ac:dyDescent="0.25">
      <c r="A56" s="35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 x14ac:dyDescent="0.25">
      <c r="A57" s="35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 x14ac:dyDescent="0.25">
      <c r="A58" s="35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 x14ac:dyDescent="0.25">
      <c r="A59" s="35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 x14ac:dyDescent="0.25">
      <c r="A60" s="35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 x14ac:dyDescent="0.25">
      <c r="A61" s="35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 x14ac:dyDescent="0.25">
      <c r="A62" s="35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 x14ac:dyDescent="0.25">
      <c r="A63" s="35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 x14ac:dyDescent="0.25">
      <c r="A64" s="35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 x14ac:dyDescent="0.25">
      <c r="A65" s="35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 x14ac:dyDescent="0.25">
      <c r="A66" s="35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 x14ac:dyDescent="0.25">
      <c r="A67" s="35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 x14ac:dyDescent="0.25">
      <c r="A68" s="35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 x14ac:dyDescent="0.25">
      <c r="A69" s="35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 x14ac:dyDescent="0.25">
      <c r="A70" s="35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 x14ac:dyDescent="0.25">
      <c r="A71" s="35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 x14ac:dyDescent="0.25">
      <c r="A72" s="35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 x14ac:dyDescent="0.25">
      <c r="A73" s="3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 x14ac:dyDescent="0.25">
      <c r="A74" s="3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 x14ac:dyDescent="0.25">
      <c r="A75" s="35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 x14ac:dyDescent="0.25">
      <c r="A76" s="35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 x14ac:dyDescent="0.25">
      <c r="A77" s="3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 x14ac:dyDescent="0.25">
      <c r="A78" s="35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 x14ac:dyDescent="0.25">
      <c r="A79" s="3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 x14ac:dyDescent="0.25">
      <c r="A80" s="35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 x14ac:dyDescent="0.25">
      <c r="A81" s="3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 x14ac:dyDescent="0.25">
      <c r="A82" s="35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 x14ac:dyDescent="0.25">
      <c r="A83" s="35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 x14ac:dyDescent="0.25">
      <c r="A84" s="35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 x14ac:dyDescent="0.25">
      <c r="A85" s="35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 x14ac:dyDescent="0.25">
      <c r="A86" s="35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 x14ac:dyDescent="0.25">
      <c r="A87" s="35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 x14ac:dyDescent="0.25">
      <c r="A88" s="35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 x14ac:dyDescent="0.25">
      <c r="A89" s="35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 x14ac:dyDescent="0.25">
      <c r="A90" s="35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 x14ac:dyDescent="0.25">
      <c r="A91" s="35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 x14ac:dyDescent="0.25">
      <c r="A92" s="35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 x14ac:dyDescent="0.25">
      <c r="A93" s="35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 x14ac:dyDescent="0.25">
      <c r="A94" s="35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 x14ac:dyDescent="0.25">
      <c r="A95" s="35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 x14ac:dyDescent="0.25">
      <c r="A96" s="35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 x14ac:dyDescent="0.25">
      <c r="A97" s="35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 x14ac:dyDescent="0.25">
      <c r="A98" s="35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 x14ac:dyDescent="0.25">
      <c r="A99" s="35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 x14ac:dyDescent="0.25">
      <c r="A100" s="35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 x14ac:dyDescent="0.25">
      <c r="A101" s="35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 x14ac:dyDescent="0.25">
      <c r="A102" s="35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 x14ac:dyDescent="0.25">
      <c r="A103" s="35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 x14ac:dyDescent="0.25">
      <c r="A104" s="35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 x14ac:dyDescent="0.25">
      <c r="A105" s="35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 x14ac:dyDescent="0.25">
      <c r="A106" s="35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 x14ac:dyDescent="0.25">
      <c r="A107" s="35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 x14ac:dyDescent="0.25">
      <c r="A108" s="35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 x14ac:dyDescent="0.25">
      <c r="A109" s="35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 x14ac:dyDescent="0.25">
      <c r="A110" s="35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 x14ac:dyDescent="0.25">
      <c r="A111" s="35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 x14ac:dyDescent="0.25">
      <c r="A112" s="35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 x14ac:dyDescent="0.25">
      <c r="A113" s="35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 x14ac:dyDescent="0.25">
      <c r="A114" s="35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 x14ac:dyDescent="0.25">
      <c r="A115" s="35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 x14ac:dyDescent="0.25">
      <c r="A116" s="35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 x14ac:dyDescent="0.25">
      <c r="A117" s="35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 x14ac:dyDescent="0.25">
      <c r="A118" s="35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 x14ac:dyDescent="0.25">
      <c r="A119" s="35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 x14ac:dyDescent="0.25">
      <c r="A120" s="35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 x14ac:dyDescent="0.25">
      <c r="A121" s="35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 x14ac:dyDescent="0.25">
      <c r="A122" s="35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 x14ac:dyDescent="0.25">
      <c r="A123" s="35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 x14ac:dyDescent="0.25">
      <c r="A124" s="35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 x14ac:dyDescent="0.25">
      <c r="A125" s="35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 x14ac:dyDescent="0.25">
      <c r="A126" s="35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 x14ac:dyDescent="0.25">
      <c r="A127" s="35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 x14ac:dyDescent="0.25">
      <c r="A128" s="35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 x14ac:dyDescent="0.25">
      <c r="A129" s="35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 x14ac:dyDescent="0.25">
      <c r="A130" s="35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 x14ac:dyDescent="0.25">
      <c r="A131" s="35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 x14ac:dyDescent="0.25">
      <c r="A132" s="35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 x14ac:dyDescent="0.25">
      <c r="A133" s="35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 x14ac:dyDescent="0.25">
      <c r="A134" s="35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 x14ac:dyDescent="0.25">
      <c r="A135" s="35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 x14ac:dyDescent="0.25">
      <c r="A136" s="35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 x14ac:dyDescent="0.25">
      <c r="A137" s="35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 x14ac:dyDescent="0.25">
      <c r="A138" s="35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 x14ac:dyDescent="0.25">
      <c r="A139" s="35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 x14ac:dyDescent="0.25">
      <c r="A140" s="35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 x14ac:dyDescent="0.25">
      <c r="A141" s="35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 x14ac:dyDescent="0.25">
      <c r="A142" s="35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 x14ac:dyDescent="0.25">
      <c r="A143" s="35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 x14ac:dyDescent="0.25">
      <c r="A144" s="35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 x14ac:dyDescent="0.25">
      <c r="A145" s="35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 x14ac:dyDescent="0.25">
      <c r="A146" s="35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 x14ac:dyDescent="0.25">
      <c r="A147" s="35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 x14ac:dyDescent="0.25">
      <c r="A148" s="35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 x14ac:dyDescent="0.25">
      <c r="A149" s="35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 x14ac:dyDescent="0.25">
      <c r="A150" s="35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 x14ac:dyDescent="0.25">
      <c r="A151" s="35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 x14ac:dyDescent="0.25">
      <c r="A152" s="35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 x14ac:dyDescent="0.25">
      <c r="A153" s="35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 x14ac:dyDescent="0.25">
      <c r="A154" s="35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 x14ac:dyDescent="0.25">
      <c r="A155" s="35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 x14ac:dyDescent="0.25">
      <c r="A156" s="35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 x14ac:dyDescent="0.25">
      <c r="A157" s="35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 x14ac:dyDescent="0.25">
      <c r="A158" s="35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 x14ac:dyDescent="0.25">
      <c r="A159" s="35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 x14ac:dyDescent="0.25">
      <c r="A160" s="35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 x14ac:dyDescent="0.25">
      <c r="A161" s="35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 x14ac:dyDescent="0.25">
      <c r="A162" s="35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 x14ac:dyDescent="0.25">
      <c r="A163" s="35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 x14ac:dyDescent="0.25">
      <c r="A164" s="35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 x14ac:dyDescent="0.25">
      <c r="A165" s="35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 x14ac:dyDescent="0.25">
      <c r="A166" s="35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 x14ac:dyDescent="0.25">
      <c r="A167" s="35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 x14ac:dyDescent="0.25">
      <c r="A168" s="35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 x14ac:dyDescent="0.25">
      <c r="A169" s="35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 x14ac:dyDescent="0.25">
      <c r="A170" s="35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 x14ac:dyDescent="0.25">
      <c r="A171" s="35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 x14ac:dyDescent="0.25">
      <c r="A172" s="35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 x14ac:dyDescent="0.25">
      <c r="A173" s="35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 x14ac:dyDescent="0.25">
      <c r="A174" s="35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 x14ac:dyDescent="0.25">
      <c r="A175" s="35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 x14ac:dyDescent="0.25">
      <c r="A176" s="35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 x14ac:dyDescent="0.25">
      <c r="A177" s="35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 x14ac:dyDescent="0.25">
      <c r="A178" s="35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 x14ac:dyDescent="0.25">
      <c r="A179" s="35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 x14ac:dyDescent="0.25">
      <c r="A180" s="35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 x14ac:dyDescent="0.25">
      <c r="A181" s="35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 x14ac:dyDescent="0.25">
      <c r="A182" s="35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 x14ac:dyDescent="0.25">
      <c r="A183" s="35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 x14ac:dyDescent="0.25">
      <c r="A184" s="35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 x14ac:dyDescent="0.25">
      <c r="A185" s="35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 x14ac:dyDescent="0.25">
      <c r="A186" s="35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 x14ac:dyDescent="0.25">
      <c r="A187" s="35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 x14ac:dyDescent="0.25">
      <c r="A188" s="35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 x14ac:dyDescent="0.25">
      <c r="A189" s="35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 x14ac:dyDescent="0.25">
      <c r="A190" s="35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 x14ac:dyDescent="0.25">
      <c r="A191" s="35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 x14ac:dyDescent="0.25">
      <c r="A192" s="35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 x14ac:dyDescent="0.25">
      <c r="A193" s="35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 x14ac:dyDescent="0.25">
      <c r="A194" s="35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 x14ac:dyDescent="0.25">
      <c r="A195" s="35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 x14ac:dyDescent="0.25">
      <c r="A196" s="35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 x14ac:dyDescent="0.25">
      <c r="A197" s="35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 x14ac:dyDescent="0.25">
      <c r="A198" s="35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 x14ac:dyDescent="0.25">
      <c r="A199" s="35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 x14ac:dyDescent="0.25">
      <c r="A200" s="35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 x14ac:dyDescent="0.25">
      <c r="A201" s="35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 x14ac:dyDescent="0.25">
      <c r="A202" s="35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 x14ac:dyDescent="0.25">
      <c r="A203" s="35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 x14ac:dyDescent="0.25">
      <c r="A204" s="35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 x14ac:dyDescent="0.25">
      <c r="A205" s="35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 x14ac:dyDescent="0.25">
      <c r="A206" s="35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 x14ac:dyDescent="0.25">
      <c r="A207" s="35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 x14ac:dyDescent="0.25">
      <c r="A208" s="35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 x14ac:dyDescent="0.25">
      <c r="A209" s="35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 x14ac:dyDescent="0.25">
      <c r="A210" s="35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 x14ac:dyDescent="0.25">
      <c r="A211" s="35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 x14ac:dyDescent="0.2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 x14ac:dyDescent="0.2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 x14ac:dyDescent="0.2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 x14ac:dyDescent="0.2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 x14ac:dyDescent="0.2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 x14ac:dyDescent="0.2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 x14ac:dyDescent="0.2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 x14ac:dyDescent="0.2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 x14ac:dyDescent="0.2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 x14ac:dyDescent="0.2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 x14ac:dyDescent="0.2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 x14ac:dyDescent="0.2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 x14ac:dyDescent="0.2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 x14ac:dyDescent="0.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 x14ac:dyDescent="0.2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 x14ac:dyDescent="0.2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 x14ac:dyDescent="0.2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 x14ac:dyDescent="0.2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 x14ac:dyDescent="0.2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 x14ac:dyDescent="0.2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 x14ac:dyDescent="0.2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 x14ac:dyDescent="0.2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 x14ac:dyDescent="0.2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 x14ac:dyDescent="0.2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 x14ac:dyDescent="0.2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 x14ac:dyDescent="0.2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 x14ac:dyDescent="0.2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 x14ac:dyDescent="0.2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 x14ac:dyDescent="0.2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 x14ac:dyDescent="0.2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 x14ac:dyDescent="0.2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 x14ac:dyDescent="0.2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 x14ac:dyDescent="0.2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 x14ac:dyDescent="0.2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 x14ac:dyDescent="0.2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 x14ac:dyDescent="0.2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 x14ac:dyDescent="0.2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 x14ac:dyDescent="0.2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 x14ac:dyDescent="0.2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 x14ac:dyDescent="0.2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 x14ac:dyDescent="0.2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 x14ac:dyDescent="0.2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 x14ac:dyDescent="0.2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 x14ac:dyDescent="0.2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 x14ac:dyDescent="0.2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 x14ac:dyDescent="0.2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 x14ac:dyDescent="0.2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 x14ac:dyDescent="0.2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 x14ac:dyDescent="0.2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 x14ac:dyDescent="0.2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 x14ac:dyDescent="0.2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 x14ac:dyDescent="0.2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 x14ac:dyDescent="0.2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 x14ac:dyDescent="0.2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 x14ac:dyDescent="0.2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 x14ac:dyDescent="0.2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 x14ac:dyDescent="0.2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 x14ac:dyDescent="0.2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 x14ac:dyDescent="0.2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 x14ac:dyDescent="0.2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 x14ac:dyDescent="0.2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 x14ac:dyDescent="0.2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 x14ac:dyDescent="0.2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 x14ac:dyDescent="0.2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 x14ac:dyDescent="0.2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 x14ac:dyDescent="0.2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 x14ac:dyDescent="0.2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 x14ac:dyDescent="0.2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 x14ac:dyDescent="0.2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 x14ac:dyDescent="0.2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 x14ac:dyDescent="0.2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 x14ac:dyDescent="0.2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 x14ac:dyDescent="0.2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 x14ac:dyDescent="0.2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 x14ac:dyDescent="0.2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 x14ac:dyDescent="0.2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 x14ac:dyDescent="0.2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 x14ac:dyDescent="0.2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 x14ac:dyDescent="0.2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 x14ac:dyDescent="0.2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 x14ac:dyDescent="0.2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 x14ac:dyDescent="0.2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 x14ac:dyDescent="0.2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 x14ac:dyDescent="0.2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 x14ac:dyDescent="0.2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 x14ac:dyDescent="0.2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 x14ac:dyDescent="0.2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 x14ac:dyDescent="0.2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 x14ac:dyDescent="0.2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 x14ac:dyDescent="0.2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 x14ac:dyDescent="0.2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 x14ac:dyDescent="0.2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 x14ac:dyDescent="0.2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 x14ac:dyDescent="0.2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 x14ac:dyDescent="0.2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 x14ac:dyDescent="0.2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 x14ac:dyDescent="0.2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 x14ac:dyDescent="0.2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 x14ac:dyDescent="0.2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 x14ac:dyDescent="0.2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 x14ac:dyDescent="0.2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 x14ac:dyDescent="0.2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 x14ac:dyDescent="0.2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 x14ac:dyDescent="0.2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 x14ac:dyDescent="0.2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 x14ac:dyDescent="0.2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 x14ac:dyDescent="0.2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 x14ac:dyDescent="0.2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 x14ac:dyDescent="0.2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 x14ac:dyDescent="0.2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 x14ac:dyDescent="0.2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 x14ac:dyDescent="0.2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 x14ac:dyDescent="0.2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 x14ac:dyDescent="0.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 x14ac:dyDescent="0.2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 x14ac:dyDescent="0.2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 x14ac:dyDescent="0.2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 x14ac:dyDescent="0.2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 x14ac:dyDescent="0.2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 x14ac:dyDescent="0.2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 x14ac:dyDescent="0.2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 x14ac:dyDescent="0.2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 x14ac:dyDescent="0.2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 x14ac:dyDescent="0.2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 x14ac:dyDescent="0.2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 x14ac:dyDescent="0.2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 x14ac:dyDescent="0.2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 x14ac:dyDescent="0.2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 x14ac:dyDescent="0.2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 x14ac:dyDescent="0.2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 x14ac:dyDescent="0.2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 x14ac:dyDescent="0.2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 x14ac:dyDescent="0.2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 x14ac:dyDescent="0.2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 x14ac:dyDescent="0.2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 x14ac:dyDescent="0.2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 x14ac:dyDescent="0.2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 x14ac:dyDescent="0.2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 x14ac:dyDescent="0.2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 x14ac:dyDescent="0.2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 x14ac:dyDescent="0.2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 x14ac:dyDescent="0.2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 x14ac:dyDescent="0.2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 x14ac:dyDescent="0.2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 x14ac:dyDescent="0.2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 x14ac:dyDescent="0.2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 x14ac:dyDescent="0.2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 x14ac:dyDescent="0.2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 x14ac:dyDescent="0.2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 x14ac:dyDescent="0.2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 x14ac:dyDescent="0.2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 x14ac:dyDescent="0.2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 x14ac:dyDescent="0.2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 x14ac:dyDescent="0.2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 x14ac:dyDescent="0.2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 x14ac:dyDescent="0.2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 x14ac:dyDescent="0.2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 x14ac:dyDescent="0.2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 x14ac:dyDescent="0.2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 x14ac:dyDescent="0.2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 x14ac:dyDescent="0.2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 x14ac:dyDescent="0.2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 x14ac:dyDescent="0.2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 x14ac:dyDescent="0.2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 x14ac:dyDescent="0.2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 x14ac:dyDescent="0.2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 x14ac:dyDescent="0.2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 x14ac:dyDescent="0.2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 x14ac:dyDescent="0.2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 x14ac:dyDescent="0.2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 x14ac:dyDescent="0.2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 x14ac:dyDescent="0.2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 x14ac:dyDescent="0.2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 x14ac:dyDescent="0.2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 x14ac:dyDescent="0.2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 x14ac:dyDescent="0.2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 x14ac:dyDescent="0.2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 x14ac:dyDescent="0.2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 x14ac:dyDescent="0.2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 x14ac:dyDescent="0.2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 x14ac:dyDescent="0.2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 x14ac:dyDescent="0.2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 x14ac:dyDescent="0.2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 x14ac:dyDescent="0.2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 x14ac:dyDescent="0.2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 x14ac:dyDescent="0.2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 x14ac:dyDescent="0.2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 x14ac:dyDescent="0.2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 x14ac:dyDescent="0.2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 x14ac:dyDescent="0.2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 x14ac:dyDescent="0.2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 x14ac:dyDescent="0.2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 x14ac:dyDescent="0.2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 x14ac:dyDescent="0.2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 x14ac:dyDescent="0.2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 x14ac:dyDescent="0.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 x14ac:dyDescent="0.2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 x14ac:dyDescent="0.2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 x14ac:dyDescent="0.2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 x14ac:dyDescent="0.2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 x14ac:dyDescent="0.2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 x14ac:dyDescent="0.2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 x14ac:dyDescent="0.2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 x14ac:dyDescent="0.2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 x14ac:dyDescent="0.2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 x14ac:dyDescent="0.2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 x14ac:dyDescent="0.2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 x14ac:dyDescent="0.2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 x14ac:dyDescent="0.2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 x14ac:dyDescent="0.2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 x14ac:dyDescent="0.2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 x14ac:dyDescent="0.2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 x14ac:dyDescent="0.2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 x14ac:dyDescent="0.2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 x14ac:dyDescent="0.2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 x14ac:dyDescent="0.2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 x14ac:dyDescent="0.2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 x14ac:dyDescent="0.2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 x14ac:dyDescent="0.2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 x14ac:dyDescent="0.2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 x14ac:dyDescent="0.2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 x14ac:dyDescent="0.2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 x14ac:dyDescent="0.2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 x14ac:dyDescent="0.2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 x14ac:dyDescent="0.2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 x14ac:dyDescent="0.2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 x14ac:dyDescent="0.2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 x14ac:dyDescent="0.2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 x14ac:dyDescent="0.2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 x14ac:dyDescent="0.2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 x14ac:dyDescent="0.2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 x14ac:dyDescent="0.2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 x14ac:dyDescent="0.2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 x14ac:dyDescent="0.2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 x14ac:dyDescent="0.2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 x14ac:dyDescent="0.2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 x14ac:dyDescent="0.2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 x14ac:dyDescent="0.2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 x14ac:dyDescent="0.2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 x14ac:dyDescent="0.2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 x14ac:dyDescent="0.2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 x14ac:dyDescent="0.2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 x14ac:dyDescent="0.2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 x14ac:dyDescent="0.2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 x14ac:dyDescent="0.2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 x14ac:dyDescent="0.2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 x14ac:dyDescent="0.2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 x14ac:dyDescent="0.2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 x14ac:dyDescent="0.2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 x14ac:dyDescent="0.2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 x14ac:dyDescent="0.2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 x14ac:dyDescent="0.2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 x14ac:dyDescent="0.2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 x14ac:dyDescent="0.2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 x14ac:dyDescent="0.2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 x14ac:dyDescent="0.2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 x14ac:dyDescent="0.2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 x14ac:dyDescent="0.2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 x14ac:dyDescent="0.2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 x14ac:dyDescent="0.2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 x14ac:dyDescent="0.2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 x14ac:dyDescent="0.2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 x14ac:dyDescent="0.2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 x14ac:dyDescent="0.2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 x14ac:dyDescent="0.2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 x14ac:dyDescent="0.2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 x14ac:dyDescent="0.2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 x14ac:dyDescent="0.2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 x14ac:dyDescent="0.2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 x14ac:dyDescent="0.2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 x14ac:dyDescent="0.2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 x14ac:dyDescent="0.2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 x14ac:dyDescent="0.2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 x14ac:dyDescent="0.2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 x14ac:dyDescent="0.2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 x14ac:dyDescent="0.2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 x14ac:dyDescent="0.2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 x14ac:dyDescent="0.2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 x14ac:dyDescent="0.2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 x14ac:dyDescent="0.2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 x14ac:dyDescent="0.2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 x14ac:dyDescent="0.2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 x14ac:dyDescent="0.2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 x14ac:dyDescent="0.2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 x14ac:dyDescent="0.2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 x14ac:dyDescent="0.2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 x14ac:dyDescent="0.2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 x14ac:dyDescent="0.2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 x14ac:dyDescent="0.2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 x14ac:dyDescent="0.2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 x14ac:dyDescent="0.2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 x14ac:dyDescent="0.2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 x14ac:dyDescent="0.2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 x14ac:dyDescent="0.2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 x14ac:dyDescent="0.2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 x14ac:dyDescent="0.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 x14ac:dyDescent="0.2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 x14ac:dyDescent="0.2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 x14ac:dyDescent="0.2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 x14ac:dyDescent="0.2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 x14ac:dyDescent="0.2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 x14ac:dyDescent="0.2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 x14ac:dyDescent="0.2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 x14ac:dyDescent="0.2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 x14ac:dyDescent="0.2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 x14ac:dyDescent="0.2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 x14ac:dyDescent="0.2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 x14ac:dyDescent="0.2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 x14ac:dyDescent="0.2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 x14ac:dyDescent="0.2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 x14ac:dyDescent="0.2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 x14ac:dyDescent="0.2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 x14ac:dyDescent="0.2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 x14ac:dyDescent="0.2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 x14ac:dyDescent="0.2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 x14ac:dyDescent="0.2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 x14ac:dyDescent="0.2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 x14ac:dyDescent="0.2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 x14ac:dyDescent="0.2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 x14ac:dyDescent="0.2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 x14ac:dyDescent="0.2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 x14ac:dyDescent="0.2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 x14ac:dyDescent="0.2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 x14ac:dyDescent="0.2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 x14ac:dyDescent="0.2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 x14ac:dyDescent="0.2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 x14ac:dyDescent="0.2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 x14ac:dyDescent="0.2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 x14ac:dyDescent="0.2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 x14ac:dyDescent="0.2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 x14ac:dyDescent="0.2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 x14ac:dyDescent="0.2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 x14ac:dyDescent="0.2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 x14ac:dyDescent="0.2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 x14ac:dyDescent="0.2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 x14ac:dyDescent="0.2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 x14ac:dyDescent="0.2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 x14ac:dyDescent="0.2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 x14ac:dyDescent="0.2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 x14ac:dyDescent="0.2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 x14ac:dyDescent="0.2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 x14ac:dyDescent="0.2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 x14ac:dyDescent="0.2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 x14ac:dyDescent="0.2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 x14ac:dyDescent="0.2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 x14ac:dyDescent="0.2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 x14ac:dyDescent="0.2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 x14ac:dyDescent="0.2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 x14ac:dyDescent="0.2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 x14ac:dyDescent="0.2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 x14ac:dyDescent="0.2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 x14ac:dyDescent="0.2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 x14ac:dyDescent="0.2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 x14ac:dyDescent="0.2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 x14ac:dyDescent="0.2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 x14ac:dyDescent="0.2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 x14ac:dyDescent="0.2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 x14ac:dyDescent="0.2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 x14ac:dyDescent="0.2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 x14ac:dyDescent="0.2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 x14ac:dyDescent="0.2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 x14ac:dyDescent="0.2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 x14ac:dyDescent="0.2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 x14ac:dyDescent="0.2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 x14ac:dyDescent="0.2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 x14ac:dyDescent="0.2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 x14ac:dyDescent="0.2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 x14ac:dyDescent="0.2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 x14ac:dyDescent="0.2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 x14ac:dyDescent="0.2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 x14ac:dyDescent="0.2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 x14ac:dyDescent="0.2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 x14ac:dyDescent="0.2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 x14ac:dyDescent="0.2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 x14ac:dyDescent="0.2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 x14ac:dyDescent="0.2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 x14ac:dyDescent="0.2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 x14ac:dyDescent="0.2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 x14ac:dyDescent="0.2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 x14ac:dyDescent="0.2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 x14ac:dyDescent="0.2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 x14ac:dyDescent="0.2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 x14ac:dyDescent="0.2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 x14ac:dyDescent="0.2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 x14ac:dyDescent="0.2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 x14ac:dyDescent="0.2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 x14ac:dyDescent="0.2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 x14ac:dyDescent="0.2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 x14ac:dyDescent="0.2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 x14ac:dyDescent="0.2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 x14ac:dyDescent="0.2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 x14ac:dyDescent="0.2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 x14ac:dyDescent="0.2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 x14ac:dyDescent="0.2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 x14ac:dyDescent="0.2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 x14ac:dyDescent="0.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 x14ac:dyDescent="0.2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 x14ac:dyDescent="0.2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 x14ac:dyDescent="0.2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 x14ac:dyDescent="0.2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 x14ac:dyDescent="0.2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 x14ac:dyDescent="0.2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 x14ac:dyDescent="0.2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 x14ac:dyDescent="0.2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 x14ac:dyDescent="0.2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 x14ac:dyDescent="0.2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 x14ac:dyDescent="0.2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 x14ac:dyDescent="0.2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 x14ac:dyDescent="0.2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 x14ac:dyDescent="0.2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 x14ac:dyDescent="0.2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 x14ac:dyDescent="0.2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 x14ac:dyDescent="0.2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 x14ac:dyDescent="0.2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 x14ac:dyDescent="0.2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 x14ac:dyDescent="0.2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 x14ac:dyDescent="0.2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 x14ac:dyDescent="0.2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 x14ac:dyDescent="0.2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 x14ac:dyDescent="0.2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 x14ac:dyDescent="0.2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 x14ac:dyDescent="0.2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 x14ac:dyDescent="0.2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 x14ac:dyDescent="0.2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 x14ac:dyDescent="0.2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 x14ac:dyDescent="0.2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 x14ac:dyDescent="0.2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 x14ac:dyDescent="0.2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 x14ac:dyDescent="0.2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 x14ac:dyDescent="0.2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 x14ac:dyDescent="0.2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 x14ac:dyDescent="0.2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 x14ac:dyDescent="0.2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 x14ac:dyDescent="0.2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 x14ac:dyDescent="0.2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 x14ac:dyDescent="0.2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 x14ac:dyDescent="0.2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 x14ac:dyDescent="0.2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 x14ac:dyDescent="0.2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 x14ac:dyDescent="0.2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 x14ac:dyDescent="0.2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 x14ac:dyDescent="0.2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 x14ac:dyDescent="0.2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 x14ac:dyDescent="0.2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 x14ac:dyDescent="0.2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 x14ac:dyDescent="0.2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 x14ac:dyDescent="0.2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 x14ac:dyDescent="0.2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 x14ac:dyDescent="0.2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 x14ac:dyDescent="0.2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 x14ac:dyDescent="0.2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 x14ac:dyDescent="0.2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 x14ac:dyDescent="0.2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 x14ac:dyDescent="0.2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 x14ac:dyDescent="0.2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 x14ac:dyDescent="0.2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 x14ac:dyDescent="0.2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 x14ac:dyDescent="0.2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 x14ac:dyDescent="0.2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 x14ac:dyDescent="0.2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 x14ac:dyDescent="0.2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 x14ac:dyDescent="0.2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 x14ac:dyDescent="0.2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 x14ac:dyDescent="0.2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 x14ac:dyDescent="0.2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 x14ac:dyDescent="0.2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 x14ac:dyDescent="0.2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 x14ac:dyDescent="0.2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 x14ac:dyDescent="0.2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 x14ac:dyDescent="0.2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 x14ac:dyDescent="0.2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 x14ac:dyDescent="0.2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 x14ac:dyDescent="0.2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 x14ac:dyDescent="0.2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 x14ac:dyDescent="0.2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 x14ac:dyDescent="0.2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 x14ac:dyDescent="0.2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 x14ac:dyDescent="0.2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 x14ac:dyDescent="0.2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 x14ac:dyDescent="0.2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 x14ac:dyDescent="0.2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 x14ac:dyDescent="0.2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 x14ac:dyDescent="0.2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 x14ac:dyDescent="0.2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 x14ac:dyDescent="0.2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 x14ac:dyDescent="0.2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 x14ac:dyDescent="0.2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 x14ac:dyDescent="0.2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 x14ac:dyDescent="0.2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 x14ac:dyDescent="0.2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 x14ac:dyDescent="0.2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 x14ac:dyDescent="0.2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 x14ac:dyDescent="0.2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 x14ac:dyDescent="0.2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 x14ac:dyDescent="0.2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 x14ac:dyDescent="0.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 x14ac:dyDescent="0.2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 x14ac:dyDescent="0.2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 x14ac:dyDescent="0.2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 x14ac:dyDescent="0.2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 x14ac:dyDescent="0.2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 x14ac:dyDescent="0.2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 x14ac:dyDescent="0.2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 x14ac:dyDescent="0.2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 x14ac:dyDescent="0.2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 x14ac:dyDescent="0.2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 x14ac:dyDescent="0.2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 x14ac:dyDescent="0.2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 x14ac:dyDescent="0.2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 x14ac:dyDescent="0.2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 x14ac:dyDescent="0.2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 x14ac:dyDescent="0.2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 x14ac:dyDescent="0.2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 x14ac:dyDescent="0.2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 x14ac:dyDescent="0.2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 x14ac:dyDescent="0.2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 x14ac:dyDescent="0.2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 x14ac:dyDescent="0.2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 x14ac:dyDescent="0.2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 x14ac:dyDescent="0.2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 x14ac:dyDescent="0.2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 x14ac:dyDescent="0.2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 x14ac:dyDescent="0.2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 x14ac:dyDescent="0.2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 x14ac:dyDescent="0.2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 x14ac:dyDescent="0.2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 x14ac:dyDescent="0.2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 x14ac:dyDescent="0.2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 x14ac:dyDescent="0.2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 x14ac:dyDescent="0.2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 x14ac:dyDescent="0.2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 x14ac:dyDescent="0.2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 x14ac:dyDescent="0.2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 x14ac:dyDescent="0.2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 x14ac:dyDescent="0.2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 x14ac:dyDescent="0.2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 x14ac:dyDescent="0.2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 x14ac:dyDescent="0.2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 x14ac:dyDescent="0.2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 x14ac:dyDescent="0.2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 x14ac:dyDescent="0.2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 x14ac:dyDescent="0.2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 x14ac:dyDescent="0.2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 x14ac:dyDescent="0.2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 x14ac:dyDescent="0.2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 x14ac:dyDescent="0.2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 x14ac:dyDescent="0.2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 x14ac:dyDescent="0.2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 x14ac:dyDescent="0.2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 x14ac:dyDescent="0.2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 x14ac:dyDescent="0.2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 x14ac:dyDescent="0.2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 x14ac:dyDescent="0.2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 x14ac:dyDescent="0.2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 x14ac:dyDescent="0.2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 x14ac:dyDescent="0.2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 x14ac:dyDescent="0.2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 x14ac:dyDescent="0.2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 x14ac:dyDescent="0.2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 x14ac:dyDescent="0.2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 x14ac:dyDescent="0.2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 x14ac:dyDescent="0.2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 x14ac:dyDescent="0.2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 x14ac:dyDescent="0.2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 x14ac:dyDescent="0.2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 x14ac:dyDescent="0.2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 x14ac:dyDescent="0.2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 x14ac:dyDescent="0.2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 x14ac:dyDescent="0.2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 x14ac:dyDescent="0.2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 x14ac:dyDescent="0.2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 x14ac:dyDescent="0.2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 x14ac:dyDescent="0.2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 x14ac:dyDescent="0.2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 x14ac:dyDescent="0.2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 x14ac:dyDescent="0.2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 x14ac:dyDescent="0.2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 x14ac:dyDescent="0.2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 x14ac:dyDescent="0.2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 x14ac:dyDescent="0.2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 x14ac:dyDescent="0.2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 x14ac:dyDescent="0.2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 x14ac:dyDescent="0.2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 x14ac:dyDescent="0.2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 x14ac:dyDescent="0.2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 x14ac:dyDescent="0.2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 x14ac:dyDescent="0.2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 x14ac:dyDescent="0.2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 x14ac:dyDescent="0.2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 x14ac:dyDescent="0.2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 x14ac:dyDescent="0.2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 x14ac:dyDescent="0.2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 x14ac:dyDescent="0.2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 x14ac:dyDescent="0.2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 x14ac:dyDescent="0.2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 x14ac:dyDescent="0.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 x14ac:dyDescent="0.2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 x14ac:dyDescent="0.2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 x14ac:dyDescent="0.2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 x14ac:dyDescent="0.2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 x14ac:dyDescent="0.2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 x14ac:dyDescent="0.2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 x14ac:dyDescent="0.2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 x14ac:dyDescent="0.2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 x14ac:dyDescent="0.2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 x14ac:dyDescent="0.2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 x14ac:dyDescent="0.2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 x14ac:dyDescent="0.2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 x14ac:dyDescent="0.2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 x14ac:dyDescent="0.2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 x14ac:dyDescent="0.2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 x14ac:dyDescent="0.2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 x14ac:dyDescent="0.2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 x14ac:dyDescent="0.2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 x14ac:dyDescent="0.2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 x14ac:dyDescent="0.2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 x14ac:dyDescent="0.2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 x14ac:dyDescent="0.2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 x14ac:dyDescent="0.2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 x14ac:dyDescent="0.2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 x14ac:dyDescent="0.2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 x14ac:dyDescent="0.2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 x14ac:dyDescent="0.2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 x14ac:dyDescent="0.2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 x14ac:dyDescent="0.2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 x14ac:dyDescent="0.2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 x14ac:dyDescent="0.2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 x14ac:dyDescent="0.2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 x14ac:dyDescent="0.2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 x14ac:dyDescent="0.2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 x14ac:dyDescent="0.2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 x14ac:dyDescent="0.2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 x14ac:dyDescent="0.2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 x14ac:dyDescent="0.2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 x14ac:dyDescent="0.2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 x14ac:dyDescent="0.2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 x14ac:dyDescent="0.2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 x14ac:dyDescent="0.2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 x14ac:dyDescent="0.2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 x14ac:dyDescent="0.2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 x14ac:dyDescent="0.2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 x14ac:dyDescent="0.2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 x14ac:dyDescent="0.2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 x14ac:dyDescent="0.2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 x14ac:dyDescent="0.2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 x14ac:dyDescent="0.2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 x14ac:dyDescent="0.2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 x14ac:dyDescent="0.2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 x14ac:dyDescent="0.2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 x14ac:dyDescent="0.2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 x14ac:dyDescent="0.2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 x14ac:dyDescent="0.2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 x14ac:dyDescent="0.2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 x14ac:dyDescent="0.2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 x14ac:dyDescent="0.2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 x14ac:dyDescent="0.2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 x14ac:dyDescent="0.2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 x14ac:dyDescent="0.2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 x14ac:dyDescent="0.2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 x14ac:dyDescent="0.2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 x14ac:dyDescent="0.2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 x14ac:dyDescent="0.2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 x14ac:dyDescent="0.2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 x14ac:dyDescent="0.2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 x14ac:dyDescent="0.2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 x14ac:dyDescent="0.2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 x14ac:dyDescent="0.2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 x14ac:dyDescent="0.2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 x14ac:dyDescent="0.2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 x14ac:dyDescent="0.2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 x14ac:dyDescent="0.2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 x14ac:dyDescent="0.2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 x14ac:dyDescent="0.2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 x14ac:dyDescent="0.2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 x14ac:dyDescent="0.2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 x14ac:dyDescent="0.2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 x14ac:dyDescent="0.2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 x14ac:dyDescent="0.2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 x14ac:dyDescent="0.2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 x14ac:dyDescent="0.2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 x14ac:dyDescent="0.2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 x14ac:dyDescent="0.2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 x14ac:dyDescent="0.2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 x14ac:dyDescent="0.2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 x14ac:dyDescent="0.2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 x14ac:dyDescent="0.2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 x14ac:dyDescent="0.2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 x14ac:dyDescent="0.2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 x14ac:dyDescent="0.2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 x14ac:dyDescent="0.2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 x14ac:dyDescent="0.2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 x14ac:dyDescent="0.2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 x14ac:dyDescent="0.2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 x14ac:dyDescent="0.2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 x14ac:dyDescent="0.2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 x14ac:dyDescent="0.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 x14ac:dyDescent="0.2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 x14ac:dyDescent="0.2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 x14ac:dyDescent="0.2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 x14ac:dyDescent="0.2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 x14ac:dyDescent="0.2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 x14ac:dyDescent="0.2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 x14ac:dyDescent="0.2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 x14ac:dyDescent="0.2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 x14ac:dyDescent="0.2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 x14ac:dyDescent="0.2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 x14ac:dyDescent="0.2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 x14ac:dyDescent="0.2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 x14ac:dyDescent="0.2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 x14ac:dyDescent="0.2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 x14ac:dyDescent="0.2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 x14ac:dyDescent="0.2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 x14ac:dyDescent="0.2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 x14ac:dyDescent="0.2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 x14ac:dyDescent="0.2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 x14ac:dyDescent="0.2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 x14ac:dyDescent="0.2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 x14ac:dyDescent="0.2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 x14ac:dyDescent="0.2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 x14ac:dyDescent="0.2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 x14ac:dyDescent="0.2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 x14ac:dyDescent="0.2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 x14ac:dyDescent="0.2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 x14ac:dyDescent="0.2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 x14ac:dyDescent="0.2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 x14ac:dyDescent="0.2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 x14ac:dyDescent="0.2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 x14ac:dyDescent="0.2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 x14ac:dyDescent="0.2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 x14ac:dyDescent="0.2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 x14ac:dyDescent="0.2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 x14ac:dyDescent="0.2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 x14ac:dyDescent="0.2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 x14ac:dyDescent="0.2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 x14ac:dyDescent="0.2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 x14ac:dyDescent="0.2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 x14ac:dyDescent="0.2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 x14ac:dyDescent="0.2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 x14ac:dyDescent="0.2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 x14ac:dyDescent="0.2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 x14ac:dyDescent="0.2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 x14ac:dyDescent="0.2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 x14ac:dyDescent="0.2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 x14ac:dyDescent="0.2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 x14ac:dyDescent="0.2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 x14ac:dyDescent="0.2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 x14ac:dyDescent="0.2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 x14ac:dyDescent="0.2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 x14ac:dyDescent="0.2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 x14ac:dyDescent="0.2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 x14ac:dyDescent="0.2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 x14ac:dyDescent="0.2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 x14ac:dyDescent="0.2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 x14ac:dyDescent="0.2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 x14ac:dyDescent="0.2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 x14ac:dyDescent="0.2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 x14ac:dyDescent="0.2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 x14ac:dyDescent="0.2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 x14ac:dyDescent="0.2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 x14ac:dyDescent="0.2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 x14ac:dyDescent="0.2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 x14ac:dyDescent="0.2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 x14ac:dyDescent="0.2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 x14ac:dyDescent="0.2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 x14ac:dyDescent="0.2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 x14ac:dyDescent="0.2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 x14ac:dyDescent="0.2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 x14ac:dyDescent="0.2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 x14ac:dyDescent="0.2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 x14ac:dyDescent="0.2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 x14ac:dyDescent="0.2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1:D1"/>
    <mergeCell ref="A3:D3"/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82"/>
  <sheetViews>
    <sheetView tabSelected="1" workbookViewId="0">
      <selection activeCell="D10" sqref="D10"/>
    </sheetView>
  </sheetViews>
  <sheetFormatPr defaultColWidth="12.6640625" defaultRowHeight="15" customHeight="1" x14ac:dyDescent="0.25"/>
  <cols>
    <col min="1" max="1" width="14.21875" style="149" customWidth="1"/>
    <col min="2" max="2" width="39" style="149" customWidth="1"/>
    <col min="3" max="3" width="37.33203125" style="149" customWidth="1"/>
    <col min="4" max="4" width="50.33203125" style="149" customWidth="1"/>
    <col min="5" max="5" width="48.6640625" style="149" customWidth="1"/>
    <col min="6" max="7" width="16" style="149" customWidth="1"/>
    <col min="8" max="10" width="12.6640625" style="149"/>
    <col min="11" max="11" width="16" style="149" customWidth="1"/>
    <col min="12" max="14" width="12.6640625" style="149"/>
    <col min="15" max="15" width="16" style="149" customWidth="1"/>
    <col min="16" max="16" width="12.6640625" style="149"/>
    <col min="17" max="17" width="16" style="149" customWidth="1"/>
    <col min="18" max="16384" width="12.6640625" style="149"/>
  </cols>
  <sheetData>
    <row r="1" spans="1:18" ht="15.75" customHeight="1" x14ac:dyDescent="0.25">
      <c r="A1" s="139" t="s">
        <v>64</v>
      </c>
      <c r="B1" s="140" t="s">
        <v>65</v>
      </c>
      <c r="C1" s="141"/>
      <c r="D1" s="140" t="s">
        <v>66</v>
      </c>
      <c r="E1" s="142"/>
      <c r="F1" s="141"/>
      <c r="G1" s="143" t="s">
        <v>67</v>
      </c>
      <c r="H1" s="143" t="s">
        <v>68</v>
      </c>
      <c r="I1" s="144" t="s">
        <v>25</v>
      </c>
      <c r="J1" s="145">
        <f>COUNTIF(G10:G86,"Pass")+COUNTIF(O10:O86,"Pass")</f>
        <v>0</v>
      </c>
      <c r="K1" s="143" t="s">
        <v>69</v>
      </c>
      <c r="L1" s="144" t="s">
        <v>25</v>
      </c>
      <c r="M1" s="145">
        <f>COUNTIF(K10:K86,"Pass")+COUNTIF(Q10:Q86,"Pass")</f>
        <v>0</v>
      </c>
      <c r="N1" s="146" t="s">
        <v>70</v>
      </c>
      <c r="O1" s="147">
        <f>SUM(J1:J4)+SUM(M1:M4)</f>
        <v>152</v>
      </c>
      <c r="P1" s="146" t="s">
        <v>71</v>
      </c>
      <c r="Q1" s="147">
        <f>COUNTA(J10:J86)+COUNTA(N10:N86)</f>
        <v>0</v>
      </c>
      <c r="R1" s="148"/>
    </row>
    <row r="2" spans="1:18" ht="15.75" customHeight="1" x14ac:dyDescent="0.25">
      <c r="A2" s="139" t="s">
        <v>72</v>
      </c>
      <c r="B2" s="140"/>
      <c r="C2" s="141"/>
      <c r="D2" s="140"/>
      <c r="E2" s="142"/>
      <c r="F2" s="141"/>
      <c r="G2" s="150"/>
      <c r="H2" s="150"/>
      <c r="I2" s="144" t="s">
        <v>26</v>
      </c>
      <c r="J2" s="145">
        <f>COUNTIF(G10:G86,"Fail")-COUNTIF(O10:O86,"Pass")</f>
        <v>0</v>
      </c>
      <c r="K2" s="150"/>
      <c r="L2" s="144" t="s">
        <v>26</v>
      </c>
      <c r="M2" s="145">
        <f>COUNTIF(K10:K86,"Fail")-COUNTIF(Q10:Q86,"OK")</f>
        <v>0</v>
      </c>
      <c r="N2" s="150"/>
      <c r="O2" s="150"/>
      <c r="P2" s="150"/>
      <c r="Q2" s="150"/>
      <c r="R2" s="148"/>
    </row>
    <row r="3" spans="1:18" ht="15.75" customHeight="1" x14ac:dyDescent="0.25">
      <c r="A3" s="139" t="s">
        <v>38</v>
      </c>
      <c r="B3" s="140"/>
      <c r="C3" s="141"/>
      <c r="D3" s="140" t="s">
        <v>73</v>
      </c>
      <c r="E3" s="142"/>
      <c r="F3" s="141"/>
      <c r="G3" s="150"/>
      <c r="H3" s="150"/>
      <c r="I3" s="144" t="s">
        <v>29</v>
      </c>
      <c r="J3" s="145">
        <f>COUNTIF(G10:G86,"Untested")</f>
        <v>76</v>
      </c>
      <c r="K3" s="150"/>
      <c r="L3" s="144" t="s">
        <v>29</v>
      </c>
      <c r="M3" s="145">
        <f>COUNTIF(K10:K86,"Untested")</f>
        <v>76</v>
      </c>
      <c r="N3" s="150"/>
      <c r="O3" s="150"/>
      <c r="P3" s="150"/>
      <c r="Q3" s="150"/>
      <c r="R3" s="148"/>
    </row>
    <row r="4" spans="1:18" ht="15.75" customHeight="1" x14ac:dyDescent="0.25">
      <c r="A4" s="139" t="s">
        <v>74</v>
      </c>
      <c r="B4" s="140" t="s">
        <v>75</v>
      </c>
      <c r="C4" s="141"/>
      <c r="D4" s="151" t="s">
        <v>76</v>
      </c>
      <c r="E4" s="142"/>
      <c r="F4" s="141"/>
      <c r="G4" s="150"/>
      <c r="H4" s="150"/>
      <c r="I4" s="144" t="s">
        <v>28</v>
      </c>
      <c r="J4" s="145">
        <f>COUNTIF(G10:G86,"N/A")</f>
        <v>0</v>
      </c>
      <c r="K4" s="150"/>
      <c r="L4" s="144" t="s">
        <v>28</v>
      </c>
      <c r="M4" s="145">
        <f>COUNTIF(K10:K86,"N/A")</f>
        <v>0</v>
      </c>
      <c r="N4" s="150"/>
      <c r="O4" s="150"/>
      <c r="P4" s="150"/>
      <c r="Q4" s="150"/>
      <c r="R4" s="148"/>
    </row>
    <row r="5" spans="1:18" ht="15.75" customHeight="1" x14ac:dyDescent="0.25">
      <c r="A5" s="139" t="s">
        <v>77</v>
      </c>
      <c r="B5" s="140"/>
      <c r="C5" s="141"/>
      <c r="D5" s="151"/>
      <c r="E5" s="142"/>
      <c r="F5" s="141"/>
      <c r="G5" s="152"/>
      <c r="H5" s="152"/>
      <c r="I5" s="144" t="s">
        <v>27</v>
      </c>
      <c r="J5" s="145">
        <f>COUNTIF(G10:G86,"Pending")</f>
        <v>0</v>
      </c>
      <c r="K5" s="152"/>
      <c r="L5" s="144" t="s">
        <v>27</v>
      </c>
      <c r="M5" s="145">
        <f>COUNTIF(K10:K86,"Pending")</f>
        <v>0</v>
      </c>
      <c r="N5" s="152"/>
      <c r="O5" s="152"/>
      <c r="P5" s="152"/>
      <c r="Q5" s="152"/>
      <c r="R5" s="148"/>
    </row>
    <row r="6" spans="1:18" ht="15.75" customHeight="1" x14ac:dyDescent="0.25">
      <c r="A6" s="153" t="s">
        <v>78</v>
      </c>
      <c r="B6" s="154" t="s">
        <v>79</v>
      </c>
      <c r="C6" s="154" t="s">
        <v>80</v>
      </c>
      <c r="D6" s="154" t="s">
        <v>81</v>
      </c>
      <c r="E6" s="154" t="s">
        <v>82</v>
      </c>
      <c r="F6" s="153" t="s">
        <v>83</v>
      </c>
      <c r="G6" s="155" t="s">
        <v>84</v>
      </c>
      <c r="H6" s="142"/>
      <c r="I6" s="142"/>
      <c r="J6" s="141"/>
      <c r="K6" s="155" t="s">
        <v>85</v>
      </c>
      <c r="L6" s="142"/>
      <c r="M6" s="142"/>
      <c r="N6" s="141"/>
      <c r="O6" s="156" t="s">
        <v>86</v>
      </c>
      <c r="P6" s="141"/>
      <c r="Q6" s="156" t="s">
        <v>87</v>
      </c>
      <c r="R6" s="141"/>
    </row>
    <row r="7" spans="1:18" ht="15.75" customHeight="1" x14ac:dyDescent="0.25">
      <c r="A7" s="152"/>
      <c r="B7" s="152"/>
      <c r="C7" s="152"/>
      <c r="D7" s="152"/>
      <c r="E7" s="152"/>
      <c r="F7" s="152"/>
      <c r="G7" s="157" t="s">
        <v>88</v>
      </c>
      <c r="H7" s="158" t="s">
        <v>45</v>
      </c>
      <c r="I7" s="158" t="s">
        <v>89</v>
      </c>
      <c r="J7" s="158" t="s">
        <v>90</v>
      </c>
      <c r="K7" s="157" t="s">
        <v>88</v>
      </c>
      <c r="L7" s="158" t="s">
        <v>45</v>
      </c>
      <c r="M7" s="158" t="s">
        <v>89</v>
      </c>
      <c r="N7" s="158" t="s">
        <v>90</v>
      </c>
      <c r="O7" s="159" t="s">
        <v>88</v>
      </c>
      <c r="P7" s="159" t="s">
        <v>45</v>
      </c>
      <c r="Q7" s="159" t="s">
        <v>88</v>
      </c>
      <c r="R7" s="159" t="s">
        <v>45</v>
      </c>
    </row>
    <row r="8" spans="1:18" ht="13.8" customHeight="1" x14ac:dyDescent="0.25">
      <c r="A8" s="160"/>
      <c r="B8" s="161" t="s">
        <v>91</v>
      </c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1"/>
    </row>
    <row r="9" spans="1:18" ht="13.8" customHeight="1" x14ac:dyDescent="0.25">
      <c r="A9" s="162"/>
      <c r="B9" s="163" t="s">
        <v>92</v>
      </c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5"/>
    </row>
    <row r="10" spans="1:18" ht="110.4" customHeight="1" x14ac:dyDescent="0.25">
      <c r="A10" s="166" t="s">
        <v>93</v>
      </c>
      <c r="B10" s="166" t="s">
        <v>94</v>
      </c>
      <c r="C10" s="166" t="s">
        <v>95</v>
      </c>
      <c r="D10" s="166" t="s">
        <v>96</v>
      </c>
      <c r="E10" s="166" t="s">
        <v>97</v>
      </c>
      <c r="F10" s="166"/>
      <c r="G10" s="167" t="s">
        <v>29</v>
      </c>
      <c r="H10" s="167"/>
      <c r="I10" s="167"/>
      <c r="J10" s="168"/>
      <c r="K10" s="167" t="s">
        <v>29</v>
      </c>
      <c r="L10" s="167"/>
      <c r="M10" s="167"/>
      <c r="N10" s="168"/>
      <c r="O10" s="167"/>
      <c r="P10" s="167"/>
      <c r="Q10" s="167"/>
      <c r="R10" s="167"/>
    </row>
    <row r="11" spans="1:18" ht="13.8" customHeight="1" x14ac:dyDescent="0.25">
      <c r="A11" s="166" t="s">
        <v>98</v>
      </c>
      <c r="B11" s="166" t="s">
        <v>99</v>
      </c>
      <c r="C11" s="166" t="s">
        <v>100</v>
      </c>
      <c r="D11" s="166" t="s">
        <v>101</v>
      </c>
      <c r="E11" s="166" t="s">
        <v>102</v>
      </c>
      <c r="F11" s="166"/>
      <c r="G11" s="169" t="s">
        <v>29</v>
      </c>
      <c r="H11" s="169"/>
      <c r="I11" s="169"/>
      <c r="J11" s="169"/>
      <c r="K11" s="169" t="s">
        <v>29</v>
      </c>
      <c r="L11" s="170"/>
      <c r="M11" s="170"/>
      <c r="N11" s="170"/>
      <c r="O11" s="170"/>
      <c r="P11" s="170"/>
      <c r="Q11" s="170"/>
      <c r="R11" s="170"/>
    </row>
    <row r="12" spans="1:18" ht="27.6" customHeight="1" x14ac:dyDescent="0.25">
      <c r="A12" s="166" t="s">
        <v>103</v>
      </c>
      <c r="B12" s="166" t="s">
        <v>104</v>
      </c>
      <c r="C12" s="166" t="s">
        <v>105</v>
      </c>
      <c r="D12" s="166" t="s">
        <v>106</v>
      </c>
      <c r="E12" s="166" t="s">
        <v>107</v>
      </c>
      <c r="F12" s="166"/>
      <c r="G12" s="167" t="s">
        <v>29</v>
      </c>
      <c r="H12" s="167"/>
      <c r="I12" s="167"/>
      <c r="J12" s="168"/>
      <c r="K12" s="167" t="s">
        <v>29</v>
      </c>
      <c r="L12" s="167"/>
      <c r="M12" s="167"/>
      <c r="N12" s="168"/>
      <c r="O12" s="167"/>
      <c r="P12" s="167"/>
      <c r="Q12" s="167"/>
      <c r="R12" s="167"/>
    </row>
    <row r="13" spans="1:18" ht="63.75" customHeight="1" x14ac:dyDescent="0.25">
      <c r="A13" s="166" t="s">
        <v>108</v>
      </c>
      <c r="B13" s="166" t="s">
        <v>109</v>
      </c>
      <c r="C13" s="166" t="s">
        <v>110</v>
      </c>
      <c r="D13" s="166" t="s">
        <v>111</v>
      </c>
      <c r="E13" s="166" t="s">
        <v>112</v>
      </c>
      <c r="F13" s="166"/>
      <c r="G13" s="167" t="s">
        <v>29</v>
      </c>
      <c r="H13" s="167"/>
      <c r="I13" s="167"/>
      <c r="J13" s="168"/>
      <c r="K13" s="167" t="s">
        <v>29</v>
      </c>
      <c r="L13" s="167"/>
      <c r="M13" s="167"/>
      <c r="N13" s="168"/>
      <c r="O13" s="167"/>
      <c r="P13" s="167"/>
      <c r="Q13" s="167"/>
      <c r="R13" s="167"/>
    </row>
    <row r="14" spans="1:18" ht="63.75" customHeight="1" x14ac:dyDescent="0.25">
      <c r="A14" s="166" t="s">
        <v>113</v>
      </c>
      <c r="B14" s="166" t="s">
        <v>114</v>
      </c>
      <c r="C14" s="166" t="s">
        <v>115</v>
      </c>
      <c r="D14" s="166" t="s">
        <v>116</v>
      </c>
      <c r="E14" s="166" t="s">
        <v>117</v>
      </c>
      <c r="F14" s="166"/>
      <c r="G14" s="167" t="s">
        <v>29</v>
      </c>
      <c r="H14" s="167"/>
      <c r="I14" s="167"/>
      <c r="J14" s="168"/>
      <c r="K14" s="167" t="s">
        <v>29</v>
      </c>
      <c r="L14" s="167"/>
      <c r="M14" s="167"/>
      <c r="N14" s="168"/>
      <c r="O14" s="167"/>
      <c r="P14" s="167"/>
      <c r="Q14" s="167"/>
      <c r="R14" s="167"/>
    </row>
    <row r="15" spans="1:18" ht="63.75" customHeight="1" x14ac:dyDescent="0.25">
      <c r="A15" s="166" t="s">
        <v>118</v>
      </c>
      <c r="B15" s="166" t="s">
        <v>119</v>
      </c>
      <c r="C15" s="166" t="s">
        <v>120</v>
      </c>
      <c r="D15" s="166" t="s">
        <v>121</v>
      </c>
      <c r="E15" s="166" t="s">
        <v>122</v>
      </c>
      <c r="F15" s="166"/>
      <c r="G15" s="167" t="s">
        <v>29</v>
      </c>
      <c r="H15" s="167"/>
      <c r="I15" s="167"/>
      <c r="J15" s="168"/>
      <c r="K15" s="167" t="s">
        <v>29</v>
      </c>
      <c r="L15" s="167"/>
      <c r="M15" s="167"/>
      <c r="N15" s="168"/>
      <c r="O15" s="167"/>
      <c r="P15" s="167"/>
      <c r="Q15" s="167"/>
      <c r="R15" s="167"/>
    </row>
    <row r="16" spans="1:18" ht="63.75" customHeight="1" x14ac:dyDescent="0.25">
      <c r="A16" s="166" t="s">
        <v>123</v>
      </c>
      <c r="B16" s="166" t="s">
        <v>124</v>
      </c>
      <c r="C16" s="166" t="s">
        <v>110</v>
      </c>
      <c r="D16" s="166" t="s">
        <v>125</v>
      </c>
      <c r="E16" s="166" t="s">
        <v>126</v>
      </c>
      <c r="F16" s="166"/>
      <c r="G16" s="167" t="s">
        <v>29</v>
      </c>
      <c r="H16" s="167"/>
      <c r="I16" s="167"/>
      <c r="J16" s="168"/>
      <c r="K16" s="167" t="s">
        <v>29</v>
      </c>
      <c r="L16" s="167"/>
      <c r="M16" s="167"/>
      <c r="N16" s="168"/>
      <c r="O16" s="167"/>
      <c r="P16" s="167"/>
      <c r="Q16" s="167"/>
      <c r="R16" s="167"/>
    </row>
    <row r="17" spans="1:18" ht="63.75" customHeight="1" x14ac:dyDescent="0.25">
      <c r="A17" s="166" t="s">
        <v>127</v>
      </c>
      <c r="B17" s="166" t="s">
        <v>128</v>
      </c>
      <c r="C17" s="166" t="s">
        <v>129</v>
      </c>
      <c r="D17" s="166" t="s">
        <v>130</v>
      </c>
      <c r="E17" s="166" t="s">
        <v>131</v>
      </c>
      <c r="F17" s="166"/>
      <c r="G17" s="167" t="s">
        <v>29</v>
      </c>
      <c r="H17" s="167"/>
      <c r="I17" s="167"/>
      <c r="J17" s="168"/>
      <c r="K17" s="167" t="s">
        <v>29</v>
      </c>
      <c r="L17" s="167"/>
      <c r="M17" s="167"/>
      <c r="N17" s="168"/>
      <c r="O17" s="167"/>
      <c r="P17" s="167"/>
      <c r="Q17" s="167"/>
      <c r="R17" s="167"/>
    </row>
    <row r="18" spans="1:18" ht="63.75" customHeight="1" x14ac:dyDescent="0.25">
      <c r="A18" s="166" t="s">
        <v>132</v>
      </c>
      <c r="B18" s="166" t="s">
        <v>133</v>
      </c>
      <c r="C18" s="166" t="s">
        <v>134</v>
      </c>
      <c r="D18" s="166" t="s">
        <v>135</v>
      </c>
      <c r="E18" s="166" t="s">
        <v>136</v>
      </c>
      <c r="F18" s="166"/>
      <c r="G18" s="167" t="s">
        <v>29</v>
      </c>
      <c r="H18" s="167"/>
      <c r="I18" s="167"/>
      <c r="J18" s="168"/>
      <c r="K18" s="167" t="s">
        <v>29</v>
      </c>
      <c r="L18" s="167"/>
      <c r="M18" s="167"/>
      <c r="N18" s="168"/>
      <c r="O18" s="167"/>
      <c r="P18" s="167"/>
      <c r="Q18" s="167"/>
      <c r="R18" s="167"/>
    </row>
    <row r="19" spans="1:18" ht="63.75" customHeight="1" x14ac:dyDescent="0.25">
      <c r="A19" s="166" t="s">
        <v>137</v>
      </c>
      <c r="B19" s="166" t="s">
        <v>138</v>
      </c>
      <c r="C19" s="166" t="s">
        <v>139</v>
      </c>
      <c r="D19" s="166" t="s">
        <v>140</v>
      </c>
      <c r="E19" s="166" t="s">
        <v>141</v>
      </c>
      <c r="F19" s="166" t="s">
        <v>142</v>
      </c>
      <c r="G19" s="167" t="s">
        <v>29</v>
      </c>
      <c r="H19" s="167"/>
      <c r="I19" s="167"/>
      <c r="J19" s="168"/>
      <c r="K19" s="167" t="s">
        <v>29</v>
      </c>
      <c r="L19" s="167"/>
      <c r="M19" s="167"/>
      <c r="N19" s="168"/>
      <c r="O19" s="167"/>
      <c r="P19" s="167"/>
      <c r="Q19" s="167"/>
      <c r="R19" s="167"/>
    </row>
    <row r="20" spans="1:18" ht="63.75" customHeight="1" x14ac:dyDescent="0.25">
      <c r="A20" s="166" t="s">
        <v>143</v>
      </c>
      <c r="B20" s="166" t="s">
        <v>144</v>
      </c>
      <c r="C20" s="166" t="s">
        <v>145</v>
      </c>
      <c r="D20" s="166" t="s">
        <v>146</v>
      </c>
      <c r="E20" s="166" t="s">
        <v>147</v>
      </c>
      <c r="F20" s="166" t="s">
        <v>142</v>
      </c>
      <c r="G20" s="167" t="s">
        <v>29</v>
      </c>
      <c r="H20" s="167"/>
      <c r="I20" s="167"/>
      <c r="J20" s="168"/>
      <c r="K20" s="167" t="s">
        <v>29</v>
      </c>
      <c r="L20" s="167"/>
      <c r="M20" s="167"/>
      <c r="N20" s="168"/>
      <c r="O20" s="167"/>
      <c r="P20" s="167"/>
      <c r="Q20" s="167"/>
      <c r="R20" s="167"/>
    </row>
    <row r="21" spans="1:18" ht="63.75" customHeight="1" x14ac:dyDescent="0.25">
      <c r="A21" s="166" t="s">
        <v>148</v>
      </c>
      <c r="B21" s="166" t="s">
        <v>149</v>
      </c>
      <c r="C21" s="166" t="s">
        <v>150</v>
      </c>
      <c r="D21" s="166" t="s">
        <v>151</v>
      </c>
      <c r="E21" s="166" t="s">
        <v>152</v>
      </c>
      <c r="F21" s="166"/>
      <c r="G21" s="167" t="s">
        <v>29</v>
      </c>
      <c r="H21" s="167"/>
      <c r="I21" s="167"/>
      <c r="J21" s="168"/>
      <c r="K21" s="167" t="s">
        <v>29</v>
      </c>
      <c r="L21" s="167"/>
      <c r="M21" s="167"/>
      <c r="N21" s="168"/>
      <c r="O21" s="167"/>
      <c r="P21" s="167"/>
      <c r="Q21" s="167"/>
      <c r="R21" s="167"/>
    </row>
    <row r="22" spans="1:18" ht="63.75" customHeight="1" x14ac:dyDescent="0.25">
      <c r="A22" s="166" t="s">
        <v>153</v>
      </c>
      <c r="B22" s="166" t="s">
        <v>154</v>
      </c>
      <c r="C22" s="166" t="s">
        <v>155</v>
      </c>
      <c r="D22" s="166" t="s">
        <v>156</v>
      </c>
      <c r="E22" s="166" t="s">
        <v>157</v>
      </c>
      <c r="F22" s="166"/>
      <c r="G22" s="167" t="s">
        <v>29</v>
      </c>
      <c r="H22" s="167"/>
      <c r="I22" s="167"/>
      <c r="J22" s="168"/>
      <c r="K22" s="167" t="s">
        <v>29</v>
      </c>
      <c r="L22" s="167"/>
      <c r="M22" s="167"/>
      <c r="N22" s="168"/>
      <c r="O22" s="167"/>
      <c r="P22" s="167"/>
      <c r="Q22" s="167"/>
      <c r="R22" s="167"/>
    </row>
    <row r="23" spans="1:18" ht="63.75" customHeight="1" x14ac:dyDescent="0.25">
      <c r="A23" s="166" t="s">
        <v>158</v>
      </c>
      <c r="B23" s="166" t="s">
        <v>159</v>
      </c>
      <c r="C23" s="166" t="s">
        <v>160</v>
      </c>
      <c r="D23" s="166" t="s">
        <v>161</v>
      </c>
      <c r="E23" s="166" t="s">
        <v>162</v>
      </c>
      <c r="F23" s="166"/>
      <c r="G23" s="167" t="s">
        <v>29</v>
      </c>
      <c r="H23" s="167"/>
      <c r="I23" s="167"/>
      <c r="J23" s="168"/>
      <c r="K23" s="167" t="s">
        <v>29</v>
      </c>
      <c r="L23" s="167"/>
      <c r="M23" s="167"/>
      <c r="N23" s="168"/>
      <c r="O23" s="167"/>
      <c r="P23" s="167"/>
      <c r="Q23" s="167"/>
      <c r="R23" s="167"/>
    </row>
    <row r="24" spans="1:18" ht="63.75" customHeight="1" x14ac:dyDescent="0.25">
      <c r="A24" s="166" t="s">
        <v>163</v>
      </c>
      <c r="B24" s="166" t="s">
        <v>164</v>
      </c>
      <c r="C24" s="166" t="s">
        <v>165</v>
      </c>
      <c r="D24" s="166" t="s">
        <v>166</v>
      </c>
      <c r="E24" s="166" t="s">
        <v>167</v>
      </c>
      <c r="F24" s="166" t="s">
        <v>168</v>
      </c>
      <c r="G24" s="167" t="s">
        <v>29</v>
      </c>
      <c r="H24" s="167"/>
      <c r="I24" s="167"/>
      <c r="J24" s="168"/>
      <c r="K24" s="167" t="s">
        <v>29</v>
      </c>
      <c r="L24" s="167"/>
      <c r="M24" s="167"/>
      <c r="N24" s="168"/>
      <c r="O24" s="167"/>
      <c r="P24" s="167"/>
      <c r="Q24" s="167"/>
      <c r="R24" s="167"/>
    </row>
    <row r="25" spans="1:18" ht="63.75" customHeight="1" x14ac:dyDescent="0.25">
      <c r="A25" s="166" t="s">
        <v>169</v>
      </c>
      <c r="B25" s="166" t="s">
        <v>170</v>
      </c>
      <c r="C25" s="166" t="s">
        <v>110</v>
      </c>
      <c r="D25" s="166" t="s">
        <v>171</v>
      </c>
      <c r="E25" s="166" t="s">
        <v>172</v>
      </c>
      <c r="F25" s="166"/>
      <c r="G25" s="167" t="s">
        <v>29</v>
      </c>
      <c r="H25" s="167"/>
      <c r="I25" s="167"/>
      <c r="J25" s="168"/>
      <c r="K25" s="167" t="s">
        <v>29</v>
      </c>
      <c r="L25" s="167"/>
      <c r="M25" s="167"/>
      <c r="N25" s="168"/>
      <c r="O25" s="167"/>
      <c r="P25" s="167"/>
      <c r="Q25" s="167"/>
      <c r="R25" s="167"/>
    </row>
    <row r="26" spans="1:18" ht="63.75" customHeight="1" x14ac:dyDescent="0.25">
      <c r="A26" s="171"/>
      <c r="B26" s="172" t="s">
        <v>173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</row>
    <row r="27" spans="1:18" ht="63.75" customHeight="1" x14ac:dyDescent="0.25">
      <c r="A27" s="166" t="s">
        <v>174</v>
      </c>
      <c r="B27" s="166" t="s">
        <v>175</v>
      </c>
      <c r="C27" s="166" t="s">
        <v>176</v>
      </c>
      <c r="D27" s="166" t="s">
        <v>177</v>
      </c>
      <c r="E27" s="166" t="s">
        <v>178</v>
      </c>
      <c r="F27" s="166"/>
      <c r="G27" s="167" t="s">
        <v>29</v>
      </c>
      <c r="H27" s="167"/>
      <c r="I27" s="167"/>
      <c r="J27" s="168"/>
      <c r="K27" s="167" t="s">
        <v>29</v>
      </c>
      <c r="L27" s="167"/>
      <c r="M27" s="167"/>
      <c r="N27" s="168"/>
      <c r="O27" s="167"/>
      <c r="P27" s="167"/>
      <c r="Q27" s="167"/>
      <c r="R27" s="167"/>
    </row>
    <row r="28" spans="1:18" ht="63.75" customHeight="1" x14ac:dyDescent="0.25">
      <c r="A28" s="166" t="s">
        <v>179</v>
      </c>
      <c r="B28" s="166" t="s">
        <v>180</v>
      </c>
      <c r="C28" s="166" t="s">
        <v>181</v>
      </c>
      <c r="D28" s="166" t="s">
        <v>182</v>
      </c>
      <c r="E28" s="166" t="s">
        <v>183</v>
      </c>
      <c r="F28" s="166"/>
      <c r="G28" s="167" t="s">
        <v>29</v>
      </c>
      <c r="H28" s="167"/>
      <c r="I28" s="167"/>
      <c r="J28" s="168"/>
      <c r="K28" s="167" t="s">
        <v>29</v>
      </c>
      <c r="L28" s="167"/>
      <c r="M28" s="167"/>
      <c r="N28" s="168"/>
      <c r="O28" s="167"/>
      <c r="P28" s="167"/>
      <c r="Q28" s="167"/>
      <c r="R28" s="167"/>
    </row>
    <row r="29" spans="1:18" ht="63.75" customHeight="1" x14ac:dyDescent="0.25">
      <c r="A29" s="166" t="s">
        <v>184</v>
      </c>
      <c r="B29" s="166" t="s">
        <v>185</v>
      </c>
      <c r="C29" s="166" t="s">
        <v>186</v>
      </c>
      <c r="D29" s="166" t="s">
        <v>187</v>
      </c>
      <c r="E29" s="166" t="s">
        <v>188</v>
      </c>
      <c r="F29" s="166"/>
      <c r="G29" s="167" t="s">
        <v>29</v>
      </c>
      <c r="H29" s="167"/>
      <c r="I29" s="167"/>
      <c r="J29" s="168"/>
      <c r="K29" s="167" t="s">
        <v>29</v>
      </c>
      <c r="L29" s="167"/>
      <c r="M29" s="167"/>
      <c r="N29" s="168"/>
      <c r="O29" s="167"/>
      <c r="P29" s="167"/>
      <c r="Q29" s="167"/>
      <c r="R29" s="167"/>
    </row>
    <row r="30" spans="1:18" ht="13.8" customHeight="1" x14ac:dyDescent="0.25">
      <c r="A30" s="166" t="s">
        <v>189</v>
      </c>
      <c r="B30" s="166" t="s">
        <v>190</v>
      </c>
      <c r="C30" s="166" t="s">
        <v>191</v>
      </c>
      <c r="D30" s="166" t="s">
        <v>192</v>
      </c>
      <c r="E30" s="166" t="s">
        <v>193</v>
      </c>
      <c r="F30" s="166" t="s">
        <v>194</v>
      </c>
      <c r="G30" s="170" t="s">
        <v>29</v>
      </c>
      <c r="H30" s="170"/>
      <c r="I30" s="170"/>
      <c r="J30" s="170"/>
      <c r="K30" s="170" t="s">
        <v>29</v>
      </c>
      <c r="L30" s="170"/>
      <c r="M30" s="170"/>
      <c r="N30" s="170"/>
      <c r="O30" s="170"/>
      <c r="P30" s="170"/>
      <c r="Q30" s="170"/>
      <c r="R30" s="170"/>
    </row>
    <row r="31" spans="1:18" ht="13.8" customHeight="1" x14ac:dyDescent="0.25">
      <c r="A31" s="166" t="s">
        <v>195</v>
      </c>
      <c r="B31" s="166" t="s">
        <v>196</v>
      </c>
      <c r="C31" s="166" t="s">
        <v>197</v>
      </c>
      <c r="D31" s="166" t="s">
        <v>192</v>
      </c>
      <c r="E31" s="166" t="s">
        <v>198</v>
      </c>
      <c r="F31" s="166" t="s">
        <v>194</v>
      </c>
      <c r="G31" s="170" t="s">
        <v>29</v>
      </c>
      <c r="H31" s="170"/>
      <c r="I31" s="170"/>
      <c r="J31" s="170"/>
      <c r="K31" s="170" t="s">
        <v>29</v>
      </c>
      <c r="L31" s="170"/>
      <c r="M31" s="170"/>
      <c r="N31" s="170"/>
      <c r="O31" s="170"/>
      <c r="P31" s="170"/>
      <c r="Q31" s="170"/>
      <c r="R31" s="170"/>
    </row>
    <row r="32" spans="1:18" ht="88.5" customHeight="1" x14ac:dyDescent="0.25">
      <c r="A32" s="166" t="s">
        <v>199</v>
      </c>
      <c r="B32" s="166" t="s">
        <v>200</v>
      </c>
      <c r="C32" s="166" t="s">
        <v>201</v>
      </c>
      <c r="D32" s="166" t="s">
        <v>202</v>
      </c>
      <c r="E32" s="166" t="s">
        <v>203</v>
      </c>
      <c r="F32" s="166" t="s">
        <v>204</v>
      </c>
      <c r="G32" s="167" t="s">
        <v>29</v>
      </c>
      <c r="H32" s="167"/>
      <c r="I32" s="167"/>
      <c r="J32" s="168"/>
      <c r="K32" s="167" t="s">
        <v>29</v>
      </c>
      <c r="L32" s="167"/>
      <c r="M32" s="167"/>
      <c r="N32" s="168"/>
      <c r="O32" s="167"/>
      <c r="P32" s="167"/>
      <c r="Q32" s="167"/>
      <c r="R32" s="167"/>
    </row>
    <row r="33" spans="1:18" ht="13.8" customHeight="1" x14ac:dyDescent="0.25">
      <c r="A33" s="166" t="s">
        <v>205</v>
      </c>
      <c r="B33" s="166" t="s">
        <v>206</v>
      </c>
      <c r="C33" s="166" t="s">
        <v>207</v>
      </c>
      <c r="D33" s="166" t="s">
        <v>208</v>
      </c>
      <c r="E33" s="166" t="s">
        <v>209</v>
      </c>
      <c r="F33" s="166" t="s">
        <v>210</v>
      </c>
      <c r="G33" s="170" t="s">
        <v>29</v>
      </c>
      <c r="H33" s="170"/>
      <c r="I33" s="170"/>
      <c r="J33" s="170"/>
      <c r="K33" s="170" t="s">
        <v>29</v>
      </c>
      <c r="L33" s="170"/>
      <c r="M33" s="170"/>
      <c r="N33" s="170"/>
      <c r="O33" s="170"/>
      <c r="P33" s="170"/>
      <c r="Q33" s="170"/>
      <c r="R33" s="170"/>
    </row>
    <row r="34" spans="1:18" ht="27.6" customHeight="1" x14ac:dyDescent="0.25">
      <c r="A34" s="166" t="s">
        <v>211</v>
      </c>
      <c r="B34" s="166" t="s">
        <v>212</v>
      </c>
      <c r="C34" s="166" t="s">
        <v>213</v>
      </c>
      <c r="D34" s="166" t="s">
        <v>214</v>
      </c>
      <c r="E34" s="166" t="s">
        <v>215</v>
      </c>
      <c r="F34" s="166" t="s">
        <v>210</v>
      </c>
      <c r="G34" s="167" t="s">
        <v>29</v>
      </c>
      <c r="H34" s="167"/>
      <c r="I34" s="167"/>
      <c r="J34" s="168"/>
      <c r="K34" s="167" t="s">
        <v>29</v>
      </c>
      <c r="L34" s="167"/>
      <c r="M34" s="167"/>
      <c r="N34" s="168"/>
      <c r="O34" s="167"/>
      <c r="P34" s="167"/>
      <c r="Q34" s="167"/>
      <c r="R34" s="167"/>
    </row>
    <row r="35" spans="1:18" ht="55.2" customHeight="1" x14ac:dyDescent="0.25">
      <c r="A35" s="166" t="s">
        <v>216</v>
      </c>
      <c r="B35" s="166" t="s">
        <v>217</v>
      </c>
      <c r="C35" s="166" t="s">
        <v>218</v>
      </c>
      <c r="D35" s="166" t="s">
        <v>219</v>
      </c>
      <c r="E35" s="166" t="s">
        <v>220</v>
      </c>
      <c r="F35" s="166" t="s">
        <v>210</v>
      </c>
      <c r="G35" s="167" t="s">
        <v>29</v>
      </c>
      <c r="H35" s="167"/>
      <c r="I35" s="167"/>
      <c r="J35" s="168"/>
      <c r="K35" s="167" t="s">
        <v>29</v>
      </c>
      <c r="L35" s="167"/>
      <c r="M35" s="167"/>
      <c r="N35" s="168"/>
      <c r="O35" s="167"/>
      <c r="P35" s="167"/>
      <c r="Q35" s="167"/>
      <c r="R35" s="167"/>
    </row>
    <row r="36" spans="1:18" ht="69" customHeight="1" x14ac:dyDescent="0.25">
      <c r="A36" s="166" t="s">
        <v>221</v>
      </c>
      <c r="B36" s="166" t="s">
        <v>222</v>
      </c>
      <c r="C36" s="166" t="s">
        <v>223</v>
      </c>
      <c r="D36" s="166" t="s">
        <v>224</v>
      </c>
      <c r="E36" s="166" t="s">
        <v>225</v>
      </c>
      <c r="F36" s="166" t="s">
        <v>210</v>
      </c>
      <c r="G36" s="167" t="s">
        <v>29</v>
      </c>
      <c r="H36" s="167"/>
      <c r="I36" s="167"/>
      <c r="J36" s="168"/>
      <c r="K36" s="167" t="s">
        <v>29</v>
      </c>
      <c r="L36" s="167"/>
      <c r="M36" s="167"/>
      <c r="N36" s="168"/>
      <c r="O36" s="167"/>
      <c r="P36" s="167"/>
      <c r="Q36" s="167"/>
      <c r="R36" s="167"/>
    </row>
    <row r="37" spans="1:18" ht="41.4" customHeight="1" x14ac:dyDescent="0.25">
      <c r="A37" s="166" t="s">
        <v>226</v>
      </c>
      <c r="B37" s="166" t="s">
        <v>227</v>
      </c>
      <c r="C37" s="166" t="s">
        <v>228</v>
      </c>
      <c r="D37" s="166" t="s">
        <v>229</v>
      </c>
      <c r="E37" s="166" t="s">
        <v>230</v>
      </c>
      <c r="F37" s="166" t="s">
        <v>210</v>
      </c>
      <c r="G37" s="167" t="s">
        <v>29</v>
      </c>
      <c r="H37" s="167"/>
      <c r="I37" s="167"/>
      <c r="J37" s="168"/>
      <c r="K37" s="167" t="s">
        <v>29</v>
      </c>
      <c r="L37" s="167"/>
      <c r="M37" s="167"/>
      <c r="N37" s="168"/>
      <c r="O37" s="167"/>
      <c r="P37" s="167"/>
      <c r="Q37" s="167"/>
      <c r="R37" s="167"/>
    </row>
    <row r="38" spans="1:18" ht="41.4" customHeight="1" x14ac:dyDescent="0.25">
      <c r="A38" s="166" t="s">
        <v>231</v>
      </c>
      <c r="B38" s="166" t="s">
        <v>232</v>
      </c>
      <c r="C38" s="166" t="s">
        <v>110</v>
      </c>
      <c r="D38" s="166" t="s">
        <v>233</v>
      </c>
      <c r="E38" s="166" t="s">
        <v>234</v>
      </c>
      <c r="F38" s="166"/>
      <c r="G38" s="167" t="s">
        <v>29</v>
      </c>
      <c r="H38" s="167"/>
      <c r="I38" s="167"/>
      <c r="J38" s="168"/>
      <c r="K38" s="167" t="s">
        <v>29</v>
      </c>
      <c r="L38" s="167"/>
      <c r="M38" s="167"/>
      <c r="N38" s="168"/>
      <c r="O38" s="167"/>
      <c r="P38" s="167"/>
      <c r="Q38" s="167"/>
      <c r="R38" s="167"/>
    </row>
    <row r="39" spans="1:18" ht="55.2" customHeight="1" x14ac:dyDescent="0.25">
      <c r="A39" s="166" t="s">
        <v>235</v>
      </c>
      <c r="B39" s="166" t="s">
        <v>236</v>
      </c>
      <c r="C39" s="166" t="s">
        <v>237</v>
      </c>
      <c r="D39" s="166" t="s">
        <v>238</v>
      </c>
      <c r="E39" s="166" t="s">
        <v>239</v>
      </c>
      <c r="F39" s="166"/>
      <c r="G39" s="167" t="s">
        <v>29</v>
      </c>
      <c r="H39" s="167"/>
      <c r="I39" s="167"/>
      <c r="J39" s="168"/>
      <c r="K39" s="167" t="s">
        <v>29</v>
      </c>
      <c r="L39" s="167"/>
      <c r="M39" s="167"/>
      <c r="N39" s="168"/>
      <c r="O39" s="167"/>
      <c r="P39" s="167"/>
      <c r="Q39" s="167"/>
      <c r="R39" s="167"/>
    </row>
    <row r="40" spans="1:18" ht="41.4" customHeight="1" x14ac:dyDescent="0.25">
      <c r="A40" s="166" t="s">
        <v>240</v>
      </c>
      <c r="B40" s="166" t="s">
        <v>241</v>
      </c>
      <c r="C40" s="166" t="s">
        <v>242</v>
      </c>
      <c r="D40" s="166" t="s">
        <v>219</v>
      </c>
      <c r="E40" s="166" t="s">
        <v>243</v>
      </c>
      <c r="F40" s="166"/>
      <c r="G40" s="167" t="s">
        <v>29</v>
      </c>
      <c r="H40" s="167"/>
      <c r="I40" s="167"/>
      <c r="J40" s="168"/>
      <c r="K40" s="167" t="s">
        <v>29</v>
      </c>
      <c r="L40" s="167"/>
      <c r="M40" s="167"/>
      <c r="N40" s="168"/>
      <c r="O40" s="167"/>
      <c r="P40" s="167"/>
      <c r="Q40" s="167"/>
      <c r="R40" s="167"/>
    </row>
    <row r="41" spans="1:18" ht="41.4" customHeight="1" x14ac:dyDescent="0.25">
      <c r="A41" s="166" t="s">
        <v>244</v>
      </c>
      <c r="B41" s="166" t="s">
        <v>245</v>
      </c>
      <c r="C41" s="166" t="s">
        <v>246</v>
      </c>
      <c r="D41" s="166" t="s">
        <v>247</v>
      </c>
      <c r="E41" s="166" t="s">
        <v>248</v>
      </c>
      <c r="F41" s="166"/>
      <c r="G41" s="167" t="s">
        <v>29</v>
      </c>
      <c r="H41" s="167"/>
      <c r="I41" s="167"/>
      <c r="J41" s="168"/>
      <c r="K41" s="167" t="s">
        <v>29</v>
      </c>
      <c r="L41" s="167"/>
      <c r="M41" s="167"/>
      <c r="N41" s="168"/>
      <c r="O41" s="167"/>
      <c r="P41" s="167"/>
      <c r="Q41" s="167"/>
      <c r="R41" s="167"/>
    </row>
    <row r="42" spans="1:18" ht="41.4" customHeight="1" x14ac:dyDescent="0.25">
      <c r="A42" s="166" t="s">
        <v>249</v>
      </c>
      <c r="B42" s="166" t="s">
        <v>250</v>
      </c>
      <c r="C42" s="166" t="s">
        <v>251</v>
      </c>
      <c r="D42" s="166" t="s">
        <v>252</v>
      </c>
      <c r="E42" s="166" t="s">
        <v>253</v>
      </c>
      <c r="F42" s="166"/>
      <c r="G42" s="167" t="s">
        <v>29</v>
      </c>
      <c r="H42" s="167"/>
      <c r="I42" s="167"/>
      <c r="J42" s="168"/>
      <c r="K42" s="167" t="s">
        <v>29</v>
      </c>
      <c r="L42" s="167"/>
      <c r="M42" s="167"/>
      <c r="N42" s="168"/>
      <c r="O42" s="167"/>
      <c r="P42" s="167"/>
      <c r="Q42" s="167"/>
      <c r="R42" s="167"/>
    </row>
    <row r="43" spans="1:18" ht="27.6" customHeight="1" x14ac:dyDescent="0.25">
      <c r="A43" s="166" t="s">
        <v>254</v>
      </c>
      <c r="B43" s="166" t="s">
        <v>255</v>
      </c>
      <c r="C43" s="166" t="s">
        <v>256</v>
      </c>
      <c r="D43" s="166" t="s">
        <v>257</v>
      </c>
      <c r="E43" s="166" t="s">
        <v>258</v>
      </c>
      <c r="F43" s="166"/>
      <c r="G43" s="167" t="s">
        <v>29</v>
      </c>
      <c r="H43" s="167"/>
      <c r="I43" s="167"/>
      <c r="J43" s="168"/>
      <c r="K43" s="167" t="s">
        <v>29</v>
      </c>
      <c r="L43" s="167"/>
      <c r="M43" s="167"/>
      <c r="N43" s="168"/>
      <c r="O43" s="167"/>
      <c r="P43" s="167"/>
      <c r="Q43" s="167"/>
      <c r="R43" s="167"/>
    </row>
    <row r="44" spans="1:18" ht="55.2" customHeight="1" x14ac:dyDescent="0.25">
      <c r="A44" s="166" t="s">
        <v>259</v>
      </c>
      <c r="B44" s="166" t="s">
        <v>260</v>
      </c>
      <c r="C44" s="166" t="s">
        <v>256</v>
      </c>
      <c r="D44" s="166" t="s">
        <v>261</v>
      </c>
      <c r="E44" s="166" t="s">
        <v>262</v>
      </c>
      <c r="F44" s="166" t="s">
        <v>263</v>
      </c>
      <c r="G44" s="167" t="s">
        <v>29</v>
      </c>
      <c r="H44" s="167"/>
      <c r="I44" s="167"/>
      <c r="J44" s="168"/>
      <c r="K44" s="167" t="s">
        <v>29</v>
      </c>
      <c r="L44" s="167"/>
      <c r="M44" s="167"/>
      <c r="N44" s="168"/>
      <c r="O44" s="167"/>
      <c r="P44" s="167"/>
      <c r="Q44" s="167"/>
      <c r="R44" s="167"/>
    </row>
    <row r="45" spans="1:18" ht="69" customHeight="1" x14ac:dyDescent="0.25">
      <c r="A45" s="166" t="s">
        <v>264</v>
      </c>
      <c r="B45" s="166" t="s">
        <v>265</v>
      </c>
      <c r="C45" s="166" t="s">
        <v>256</v>
      </c>
      <c r="D45" s="166" t="s">
        <v>266</v>
      </c>
      <c r="E45" s="166" t="s">
        <v>267</v>
      </c>
      <c r="F45" s="166" t="s">
        <v>268</v>
      </c>
      <c r="G45" s="167" t="s">
        <v>29</v>
      </c>
      <c r="H45" s="167"/>
      <c r="I45" s="167"/>
      <c r="J45" s="168"/>
      <c r="K45" s="167" t="s">
        <v>29</v>
      </c>
      <c r="L45" s="167"/>
      <c r="M45" s="167"/>
      <c r="N45" s="168"/>
      <c r="O45" s="167"/>
      <c r="P45" s="167"/>
      <c r="Q45" s="167"/>
      <c r="R45" s="167"/>
    </row>
    <row r="46" spans="1:18" ht="41.4" customHeight="1" x14ac:dyDescent="0.25">
      <c r="A46" s="166" t="s">
        <v>269</v>
      </c>
      <c r="B46" s="166" t="s">
        <v>270</v>
      </c>
      <c r="C46" s="166" t="s">
        <v>271</v>
      </c>
      <c r="D46" s="166" t="s">
        <v>272</v>
      </c>
      <c r="E46" s="166" t="s">
        <v>273</v>
      </c>
      <c r="F46" s="166" t="s">
        <v>274</v>
      </c>
      <c r="G46" s="167" t="s">
        <v>29</v>
      </c>
      <c r="H46" s="167"/>
      <c r="I46" s="167"/>
      <c r="J46" s="168"/>
      <c r="K46" s="167" t="s">
        <v>29</v>
      </c>
      <c r="L46" s="167"/>
      <c r="M46" s="167"/>
      <c r="N46" s="168"/>
      <c r="O46" s="167"/>
      <c r="P46" s="167"/>
      <c r="Q46" s="167"/>
      <c r="R46" s="167"/>
    </row>
    <row r="47" spans="1:18" ht="41.4" customHeight="1" x14ac:dyDescent="0.25">
      <c r="A47" s="166" t="s">
        <v>275</v>
      </c>
      <c r="B47" s="166" t="s">
        <v>276</v>
      </c>
      <c r="C47" s="166" t="s">
        <v>277</v>
      </c>
      <c r="D47" s="166" t="s">
        <v>278</v>
      </c>
      <c r="E47" s="166" t="s">
        <v>279</v>
      </c>
      <c r="F47" s="166" t="s">
        <v>280</v>
      </c>
      <c r="G47" s="167" t="s">
        <v>29</v>
      </c>
      <c r="H47" s="167"/>
      <c r="I47" s="167"/>
      <c r="J47" s="168"/>
      <c r="K47" s="167" t="s">
        <v>29</v>
      </c>
      <c r="L47" s="167"/>
      <c r="M47" s="167"/>
      <c r="N47" s="168"/>
      <c r="O47" s="167"/>
      <c r="P47" s="167"/>
      <c r="Q47" s="167"/>
      <c r="R47" s="167"/>
    </row>
    <row r="48" spans="1:18" ht="55.2" customHeight="1" x14ac:dyDescent="0.25">
      <c r="A48" s="166" t="s">
        <v>281</v>
      </c>
      <c r="B48" s="166" t="s">
        <v>282</v>
      </c>
      <c r="C48" s="166" t="s">
        <v>283</v>
      </c>
      <c r="D48" s="166" t="s">
        <v>284</v>
      </c>
      <c r="E48" s="166" t="s">
        <v>285</v>
      </c>
      <c r="F48" s="166"/>
      <c r="G48" s="167" t="s">
        <v>29</v>
      </c>
      <c r="H48" s="167"/>
      <c r="I48" s="167"/>
      <c r="J48" s="168"/>
      <c r="K48" s="167" t="s">
        <v>29</v>
      </c>
      <c r="L48" s="167"/>
      <c r="M48" s="167"/>
      <c r="N48" s="168"/>
      <c r="O48" s="167"/>
      <c r="P48" s="167"/>
      <c r="Q48" s="167"/>
      <c r="R48" s="167"/>
    </row>
    <row r="49" spans="1:18" ht="55.2" customHeight="1" x14ac:dyDescent="0.25">
      <c r="A49" s="166" t="s">
        <v>286</v>
      </c>
      <c r="B49" s="166" t="s">
        <v>287</v>
      </c>
      <c r="C49" s="166" t="s">
        <v>288</v>
      </c>
      <c r="D49" s="166" t="s">
        <v>289</v>
      </c>
      <c r="E49" s="166" t="s">
        <v>290</v>
      </c>
      <c r="F49" s="166"/>
      <c r="G49" s="167" t="s">
        <v>29</v>
      </c>
      <c r="H49" s="167"/>
      <c r="I49" s="167"/>
      <c r="J49" s="168"/>
      <c r="K49" s="167" t="s">
        <v>29</v>
      </c>
      <c r="L49" s="167"/>
      <c r="M49" s="167"/>
      <c r="N49" s="168"/>
      <c r="O49" s="167"/>
      <c r="P49" s="167"/>
      <c r="Q49" s="167"/>
      <c r="R49" s="167"/>
    </row>
    <row r="50" spans="1:18" ht="55.2" customHeight="1" x14ac:dyDescent="0.25">
      <c r="A50" s="166" t="s">
        <v>291</v>
      </c>
      <c r="B50" s="166" t="s">
        <v>292</v>
      </c>
      <c r="C50" s="166" t="s">
        <v>293</v>
      </c>
      <c r="D50" s="166" t="s">
        <v>294</v>
      </c>
      <c r="E50" s="166" t="s">
        <v>295</v>
      </c>
      <c r="F50" s="166"/>
      <c r="G50" s="167" t="s">
        <v>29</v>
      </c>
      <c r="H50" s="167"/>
      <c r="I50" s="167"/>
      <c r="J50" s="168"/>
      <c r="K50" s="167" t="s">
        <v>29</v>
      </c>
      <c r="L50" s="167"/>
      <c r="M50" s="167"/>
      <c r="N50" s="168"/>
      <c r="O50" s="167"/>
      <c r="P50" s="167"/>
      <c r="Q50" s="167"/>
      <c r="R50" s="167"/>
    </row>
    <row r="51" spans="1:18" ht="55.2" customHeight="1" x14ac:dyDescent="0.25">
      <c r="A51" s="166" t="s">
        <v>296</v>
      </c>
      <c r="B51" s="166" t="s">
        <v>297</v>
      </c>
      <c r="C51" s="166" t="s">
        <v>298</v>
      </c>
      <c r="D51" s="166" t="s">
        <v>299</v>
      </c>
      <c r="E51" s="166" t="s">
        <v>300</v>
      </c>
      <c r="F51" s="166"/>
      <c r="G51" s="167" t="s">
        <v>29</v>
      </c>
      <c r="H51" s="167"/>
      <c r="I51" s="167"/>
      <c r="J51" s="168"/>
      <c r="K51" s="167" t="s">
        <v>29</v>
      </c>
      <c r="L51" s="167"/>
      <c r="M51" s="167"/>
      <c r="N51" s="168"/>
      <c r="O51" s="167"/>
      <c r="P51" s="167"/>
      <c r="Q51" s="167"/>
      <c r="R51" s="167"/>
    </row>
    <row r="52" spans="1:18" ht="55.2" customHeight="1" x14ac:dyDescent="0.25">
      <c r="A52" s="166" t="s">
        <v>301</v>
      </c>
      <c r="B52" s="166" t="s">
        <v>302</v>
      </c>
      <c r="C52" s="166" t="s">
        <v>303</v>
      </c>
      <c r="D52" s="166" t="s">
        <v>304</v>
      </c>
      <c r="E52" s="166" t="s">
        <v>305</v>
      </c>
      <c r="F52" s="166"/>
      <c r="G52" s="167" t="s">
        <v>29</v>
      </c>
      <c r="H52" s="167"/>
      <c r="I52" s="167"/>
      <c r="J52" s="168"/>
      <c r="K52" s="167" t="s">
        <v>29</v>
      </c>
      <c r="L52" s="167"/>
      <c r="M52" s="167"/>
      <c r="N52" s="168"/>
      <c r="O52" s="167"/>
      <c r="P52" s="167"/>
      <c r="Q52" s="167"/>
      <c r="R52" s="167"/>
    </row>
    <row r="53" spans="1:18" ht="55.2" customHeight="1" x14ac:dyDescent="0.25">
      <c r="A53" s="166" t="s">
        <v>306</v>
      </c>
      <c r="B53" s="166" t="s">
        <v>307</v>
      </c>
      <c r="C53" s="166" t="s">
        <v>256</v>
      </c>
      <c r="D53" s="166" t="s">
        <v>308</v>
      </c>
      <c r="E53" s="166" t="s">
        <v>309</v>
      </c>
      <c r="F53" s="166" t="s">
        <v>310</v>
      </c>
      <c r="G53" s="167" t="s">
        <v>29</v>
      </c>
      <c r="H53" s="167"/>
      <c r="I53" s="167"/>
      <c r="J53" s="168"/>
      <c r="K53" s="167" t="s">
        <v>29</v>
      </c>
      <c r="L53" s="167"/>
      <c r="M53" s="167"/>
      <c r="N53" s="168"/>
      <c r="O53" s="167"/>
      <c r="P53" s="167"/>
      <c r="Q53" s="167"/>
      <c r="R53" s="167"/>
    </row>
    <row r="54" spans="1:18" ht="55.2" customHeight="1" x14ac:dyDescent="0.25">
      <c r="A54" s="166" t="s">
        <v>311</v>
      </c>
      <c r="B54" s="166" t="s">
        <v>312</v>
      </c>
      <c r="C54" s="166" t="s">
        <v>313</v>
      </c>
      <c r="D54" s="166" t="s">
        <v>314</v>
      </c>
      <c r="E54" s="166" t="s">
        <v>315</v>
      </c>
      <c r="F54" s="166" t="s">
        <v>316</v>
      </c>
      <c r="G54" s="167" t="s">
        <v>29</v>
      </c>
      <c r="H54" s="167"/>
      <c r="I54" s="167"/>
      <c r="J54" s="168"/>
      <c r="K54" s="167" t="s">
        <v>29</v>
      </c>
      <c r="L54" s="167"/>
      <c r="M54" s="167"/>
      <c r="N54" s="168"/>
      <c r="O54" s="167"/>
      <c r="P54" s="167"/>
      <c r="Q54" s="167"/>
      <c r="R54" s="167"/>
    </row>
    <row r="55" spans="1:18" ht="55.2" customHeight="1" x14ac:dyDescent="0.25">
      <c r="A55" s="166" t="s">
        <v>317</v>
      </c>
      <c r="B55" s="166" t="s">
        <v>318</v>
      </c>
      <c r="C55" s="166" t="s">
        <v>256</v>
      </c>
      <c r="D55" s="166" t="s">
        <v>319</v>
      </c>
      <c r="E55" s="166" t="s">
        <v>320</v>
      </c>
      <c r="F55" s="166" t="s">
        <v>321</v>
      </c>
      <c r="G55" s="167" t="s">
        <v>29</v>
      </c>
      <c r="H55" s="167"/>
      <c r="I55" s="167"/>
      <c r="J55" s="168"/>
      <c r="K55" s="167" t="s">
        <v>29</v>
      </c>
      <c r="L55" s="167"/>
      <c r="M55" s="167"/>
      <c r="N55" s="168"/>
      <c r="O55" s="167"/>
      <c r="P55" s="167"/>
      <c r="Q55" s="167"/>
      <c r="R55" s="167"/>
    </row>
    <row r="56" spans="1:18" ht="55.2" customHeight="1" x14ac:dyDescent="0.25">
      <c r="A56" s="166" t="s">
        <v>322</v>
      </c>
      <c r="B56" s="166" t="s">
        <v>323</v>
      </c>
      <c r="C56" s="166" t="s">
        <v>110</v>
      </c>
      <c r="D56" s="166" t="s">
        <v>324</v>
      </c>
      <c r="E56" s="166" t="s">
        <v>325</v>
      </c>
      <c r="F56" s="166"/>
      <c r="G56" s="167" t="s">
        <v>29</v>
      </c>
      <c r="H56" s="167"/>
      <c r="I56" s="167"/>
      <c r="J56" s="168"/>
      <c r="K56" s="167" t="s">
        <v>29</v>
      </c>
      <c r="L56" s="167"/>
      <c r="M56" s="167"/>
      <c r="N56" s="168"/>
      <c r="O56" s="167"/>
      <c r="P56" s="167"/>
      <c r="Q56" s="167"/>
      <c r="R56" s="167"/>
    </row>
    <row r="57" spans="1:18" ht="41.4" customHeight="1" x14ac:dyDescent="0.25">
      <c r="A57" s="166" t="s">
        <v>326</v>
      </c>
      <c r="B57" s="166" t="s">
        <v>327</v>
      </c>
      <c r="C57" s="166" t="s">
        <v>328</v>
      </c>
      <c r="D57" s="166" t="s">
        <v>329</v>
      </c>
      <c r="E57" s="166" t="s">
        <v>330</v>
      </c>
      <c r="F57" s="166"/>
      <c r="G57" s="167" t="s">
        <v>29</v>
      </c>
      <c r="H57" s="167"/>
      <c r="I57" s="167"/>
      <c r="J57" s="168"/>
      <c r="K57" s="167" t="s">
        <v>29</v>
      </c>
      <c r="L57" s="167"/>
      <c r="M57" s="167"/>
      <c r="N57" s="168"/>
      <c r="O57" s="167"/>
      <c r="P57" s="167"/>
      <c r="Q57" s="167"/>
      <c r="R57" s="167"/>
    </row>
    <row r="58" spans="1:18" ht="55.2" customHeight="1" x14ac:dyDescent="0.25">
      <c r="A58" s="166" t="s">
        <v>331</v>
      </c>
      <c r="B58" s="166" t="s">
        <v>332</v>
      </c>
      <c r="C58" s="166" t="s">
        <v>333</v>
      </c>
      <c r="D58" s="166" t="s">
        <v>334</v>
      </c>
      <c r="E58" s="166" t="s">
        <v>335</v>
      </c>
      <c r="F58" s="166"/>
      <c r="G58" s="167" t="s">
        <v>29</v>
      </c>
      <c r="H58" s="167"/>
      <c r="I58" s="167"/>
      <c r="J58" s="168"/>
      <c r="K58" s="167" t="s">
        <v>29</v>
      </c>
      <c r="L58" s="167"/>
      <c r="M58" s="167"/>
      <c r="N58" s="168"/>
      <c r="O58" s="167"/>
      <c r="P58" s="167"/>
      <c r="Q58" s="167"/>
      <c r="R58" s="167"/>
    </row>
    <row r="59" spans="1:18" ht="69" customHeight="1" x14ac:dyDescent="0.25">
      <c r="A59" s="166" t="s">
        <v>336</v>
      </c>
      <c r="B59" s="166" t="s">
        <v>337</v>
      </c>
      <c r="C59" s="166" t="s">
        <v>338</v>
      </c>
      <c r="D59" s="166" t="s">
        <v>339</v>
      </c>
      <c r="E59" s="166" t="s">
        <v>340</v>
      </c>
      <c r="F59" s="166"/>
      <c r="G59" s="167" t="s">
        <v>29</v>
      </c>
      <c r="H59" s="167"/>
      <c r="I59" s="167"/>
      <c r="J59" s="168"/>
      <c r="K59" s="167" t="s">
        <v>29</v>
      </c>
      <c r="L59" s="167"/>
      <c r="M59" s="167"/>
      <c r="N59" s="168"/>
      <c r="O59" s="167"/>
      <c r="P59" s="167"/>
      <c r="Q59" s="167"/>
      <c r="R59" s="167"/>
    </row>
    <row r="60" spans="1:18" ht="69" customHeight="1" x14ac:dyDescent="0.25">
      <c r="A60" s="166" t="s">
        <v>341</v>
      </c>
      <c r="B60" s="166" t="s">
        <v>342</v>
      </c>
      <c r="C60" s="166" t="s">
        <v>343</v>
      </c>
      <c r="D60" s="166" t="s">
        <v>344</v>
      </c>
      <c r="E60" s="166" t="s">
        <v>345</v>
      </c>
      <c r="F60" s="166" t="s">
        <v>142</v>
      </c>
      <c r="G60" s="167" t="s">
        <v>29</v>
      </c>
      <c r="H60" s="167"/>
      <c r="I60" s="167"/>
      <c r="J60" s="168"/>
      <c r="K60" s="167" t="s">
        <v>29</v>
      </c>
      <c r="L60" s="167"/>
      <c r="M60" s="167"/>
      <c r="N60" s="168"/>
      <c r="O60" s="167"/>
      <c r="P60" s="167"/>
      <c r="Q60" s="167"/>
      <c r="R60" s="167"/>
    </row>
    <row r="61" spans="1:18" ht="41.4" customHeight="1" x14ac:dyDescent="0.25">
      <c r="A61" s="166" t="s">
        <v>346</v>
      </c>
      <c r="B61" s="166" t="s">
        <v>347</v>
      </c>
      <c r="C61" s="166" t="s">
        <v>328</v>
      </c>
      <c r="D61" s="166" t="s">
        <v>348</v>
      </c>
      <c r="E61" s="166" t="s">
        <v>349</v>
      </c>
      <c r="F61" s="166" t="s">
        <v>350</v>
      </c>
      <c r="G61" s="167" t="s">
        <v>29</v>
      </c>
      <c r="H61" s="167"/>
      <c r="I61" s="167"/>
      <c r="J61" s="168"/>
      <c r="K61" s="167" t="s">
        <v>29</v>
      </c>
      <c r="L61" s="167"/>
      <c r="M61" s="167"/>
      <c r="N61" s="168"/>
      <c r="O61" s="167"/>
      <c r="P61" s="167"/>
      <c r="Q61" s="167"/>
      <c r="R61" s="167"/>
    </row>
    <row r="62" spans="1:18" ht="55.2" customHeight="1" x14ac:dyDescent="0.25">
      <c r="A62" s="166" t="s">
        <v>351</v>
      </c>
      <c r="B62" s="166" t="s">
        <v>352</v>
      </c>
      <c r="C62" s="166" t="s">
        <v>328</v>
      </c>
      <c r="D62" s="166" t="s">
        <v>353</v>
      </c>
      <c r="E62" s="166" t="s">
        <v>354</v>
      </c>
      <c r="F62" s="166" t="s">
        <v>350</v>
      </c>
      <c r="G62" s="167" t="s">
        <v>29</v>
      </c>
      <c r="H62" s="167"/>
      <c r="I62" s="167"/>
      <c r="J62" s="168"/>
      <c r="K62" s="167" t="s">
        <v>29</v>
      </c>
      <c r="L62" s="167"/>
      <c r="M62" s="167"/>
      <c r="N62" s="168"/>
      <c r="O62" s="167"/>
      <c r="P62" s="167"/>
      <c r="Q62" s="167"/>
      <c r="R62" s="167"/>
    </row>
    <row r="63" spans="1:18" ht="55.2" customHeight="1" x14ac:dyDescent="0.25">
      <c r="A63" s="166" t="s">
        <v>355</v>
      </c>
      <c r="B63" s="166" t="s">
        <v>356</v>
      </c>
      <c r="C63" s="166" t="s">
        <v>328</v>
      </c>
      <c r="D63" s="166" t="s">
        <v>357</v>
      </c>
      <c r="E63" s="166" t="s">
        <v>358</v>
      </c>
      <c r="F63" s="166" t="s">
        <v>350</v>
      </c>
      <c r="G63" s="167" t="s">
        <v>29</v>
      </c>
      <c r="H63" s="167"/>
      <c r="I63" s="167"/>
      <c r="J63" s="168"/>
      <c r="K63" s="167" t="s">
        <v>29</v>
      </c>
      <c r="L63" s="167"/>
      <c r="M63" s="167"/>
      <c r="N63" s="168"/>
      <c r="O63" s="167"/>
      <c r="P63" s="167"/>
      <c r="Q63" s="167"/>
      <c r="R63" s="167"/>
    </row>
    <row r="64" spans="1:18" ht="55.2" customHeight="1" x14ac:dyDescent="0.25">
      <c r="A64" s="166" t="s">
        <v>359</v>
      </c>
      <c r="B64" s="166" t="s">
        <v>360</v>
      </c>
      <c r="C64" s="166" t="s">
        <v>361</v>
      </c>
      <c r="D64" s="166" t="s">
        <v>362</v>
      </c>
      <c r="E64" s="166" t="s">
        <v>363</v>
      </c>
      <c r="F64" s="166" t="s">
        <v>350</v>
      </c>
      <c r="G64" s="167" t="s">
        <v>29</v>
      </c>
      <c r="H64" s="167"/>
      <c r="I64" s="167"/>
      <c r="J64" s="168"/>
      <c r="K64" s="167" t="s">
        <v>29</v>
      </c>
      <c r="L64" s="167"/>
      <c r="M64" s="167"/>
      <c r="N64" s="168"/>
      <c r="O64" s="167"/>
      <c r="P64" s="167"/>
      <c r="Q64" s="167"/>
      <c r="R64" s="167"/>
    </row>
    <row r="65" spans="1:18" ht="55.2" customHeight="1" x14ac:dyDescent="0.25">
      <c r="A65" s="166" t="s">
        <v>364</v>
      </c>
      <c r="B65" s="166" t="s">
        <v>365</v>
      </c>
      <c r="C65" s="166" t="s">
        <v>328</v>
      </c>
      <c r="D65" s="166" t="s">
        <v>366</v>
      </c>
      <c r="E65" s="166" t="s">
        <v>367</v>
      </c>
      <c r="F65" s="166" t="s">
        <v>368</v>
      </c>
      <c r="G65" s="167" t="s">
        <v>29</v>
      </c>
      <c r="H65" s="167"/>
      <c r="I65" s="167"/>
      <c r="J65" s="168"/>
      <c r="K65" s="167" t="s">
        <v>29</v>
      </c>
      <c r="L65" s="167"/>
      <c r="M65" s="167"/>
      <c r="N65" s="168"/>
      <c r="O65" s="167"/>
      <c r="P65" s="167"/>
      <c r="Q65" s="167"/>
      <c r="R65" s="167"/>
    </row>
    <row r="66" spans="1:18" ht="27.6" customHeight="1" x14ac:dyDescent="0.25">
      <c r="A66" s="166" t="s">
        <v>369</v>
      </c>
      <c r="B66" s="166" t="s">
        <v>370</v>
      </c>
      <c r="C66" s="166" t="s">
        <v>371</v>
      </c>
      <c r="D66" s="166" t="s">
        <v>372</v>
      </c>
      <c r="E66" s="166" t="s">
        <v>373</v>
      </c>
      <c r="F66" s="166"/>
      <c r="G66" s="167" t="s">
        <v>29</v>
      </c>
      <c r="H66" s="167"/>
      <c r="I66" s="167"/>
      <c r="J66" s="168"/>
      <c r="K66" s="167" t="s">
        <v>29</v>
      </c>
      <c r="L66" s="167"/>
      <c r="M66" s="167"/>
      <c r="N66" s="168"/>
      <c r="O66" s="167"/>
      <c r="P66" s="167"/>
      <c r="Q66" s="167"/>
      <c r="R66" s="167"/>
    </row>
    <row r="67" spans="1:18" ht="27.6" customHeight="1" x14ac:dyDescent="0.25">
      <c r="A67" s="166" t="s">
        <v>374</v>
      </c>
      <c r="B67" s="166" t="s">
        <v>375</v>
      </c>
      <c r="C67" s="166" t="s">
        <v>376</v>
      </c>
      <c r="D67" s="166" t="s">
        <v>377</v>
      </c>
      <c r="E67" s="166" t="s">
        <v>378</v>
      </c>
      <c r="F67" s="166"/>
      <c r="G67" s="167" t="s">
        <v>29</v>
      </c>
      <c r="H67" s="167"/>
      <c r="I67" s="167"/>
      <c r="J67" s="168"/>
      <c r="K67" s="167" t="s">
        <v>29</v>
      </c>
      <c r="L67" s="167"/>
      <c r="M67" s="167"/>
      <c r="N67" s="168"/>
      <c r="O67" s="167"/>
      <c r="P67" s="167"/>
      <c r="Q67" s="167"/>
      <c r="R67" s="167"/>
    </row>
    <row r="68" spans="1:18" ht="27.6" customHeight="1" x14ac:dyDescent="0.25">
      <c r="A68" s="166" t="s">
        <v>379</v>
      </c>
      <c r="B68" s="166" t="s">
        <v>380</v>
      </c>
      <c r="C68" s="166" t="s">
        <v>381</v>
      </c>
      <c r="D68" s="166" t="s">
        <v>121</v>
      </c>
      <c r="E68" s="166" t="s">
        <v>382</v>
      </c>
      <c r="F68" s="166"/>
      <c r="G68" s="167" t="s">
        <v>29</v>
      </c>
      <c r="H68" s="167"/>
      <c r="I68" s="167"/>
      <c r="J68" s="168"/>
      <c r="K68" s="167" t="s">
        <v>29</v>
      </c>
      <c r="L68" s="167"/>
      <c r="M68" s="167"/>
      <c r="N68" s="168"/>
      <c r="O68" s="167"/>
      <c r="P68" s="167"/>
      <c r="Q68" s="167"/>
      <c r="R68" s="167"/>
    </row>
    <row r="69" spans="1:18" ht="27.6" customHeight="1" x14ac:dyDescent="0.25">
      <c r="A69" s="166" t="s">
        <v>383</v>
      </c>
      <c r="B69" s="166" t="s">
        <v>384</v>
      </c>
      <c r="C69" s="166" t="s">
        <v>385</v>
      </c>
      <c r="D69" s="166" t="s">
        <v>386</v>
      </c>
      <c r="E69" s="166" t="s">
        <v>387</v>
      </c>
      <c r="F69" s="166"/>
      <c r="G69" s="167" t="s">
        <v>29</v>
      </c>
      <c r="H69" s="167"/>
      <c r="I69" s="167"/>
      <c r="J69" s="168"/>
      <c r="K69" s="167" t="s">
        <v>29</v>
      </c>
      <c r="L69" s="167"/>
      <c r="M69" s="167"/>
      <c r="N69" s="168"/>
      <c r="O69" s="167"/>
      <c r="P69" s="167"/>
      <c r="Q69" s="167"/>
      <c r="R69" s="167"/>
    </row>
    <row r="70" spans="1:18" ht="27.6" customHeight="1" x14ac:dyDescent="0.25">
      <c r="A70" s="166" t="s">
        <v>388</v>
      </c>
      <c r="B70" s="166" t="s">
        <v>389</v>
      </c>
      <c r="C70" s="166" t="s">
        <v>390</v>
      </c>
      <c r="D70" s="166" t="s">
        <v>391</v>
      </c>
      <c r="E70" s="166" t="s">
        <v>392</v>
      </c>
      <c r="F70" s="166"/>
      <c r="G70" s="167" t="s">
        <v>29</v>
      </c>
      <c r="H70" s="167"/>
      <c r="I70" s="167"/>
      <c r="J70" s="168"/>
      <c r="K70" s="167" t="s">
        <v>29</v>
      </c>
      <c r="L70" s="167"/>
      <c r="M70" s="167"/>
      <c r="N70" s="168"/>
      <c r="O70" s="167"/>
      <c r="P70" s="167"/>
      <c r="Q70" s="167"/>
      <c r="R70" s="167"/>
    </row>
    <row r="71" spans="1:18" ht="82.8" customHeight="1" x14ac:dyDescent="0.25">
      <c r="A71" s="166" t="s">
        <v>393</v>
      </c>
      <c r="B71" s="166" t="s">
        <v>394</v>
      </c>
      <c r="C71" s="166" t="s">
        <v>328</v>
      </c>
      <c r="D71" s="166" t="s">
        <v>395</v>
      </c>
      <c r="E71" s="166" t="s">
        <v>396</v>
      </c>
      <c r="F71" s="166"/>
      <c r="G71" s="167" t="s">
        <v>29</v>
      </c>
      <c r="H71" s="167"/>
      <c r="I71" s="167"/>
      <c r="J71" s="168"/>
      <c r="K71" s="167" t="s">
        <v>29</v>
      </c>
      <c r="L71" s="167"/>
      <c r="M71" s="167"/>
      <c r="N71" s="168"/>
      <c r="O71" s="167"/>
      <c r="P71" s="167"/>
      <c r="Q71" s="167"/>
      <c r="R71" s="167"/>
    </row>
    <row r="72" spans="1:18" ht="69" customHeight="1" x14ac:dyDescent="0.25">
      <c r="A72" s="166" t="s">
        <v>397</v>
      </c>
      <c r="B72" s="166" t="s">
        <v>398</v>
      </c>
      <c r="C72" s="166" t="s">
        <v>399</v>
      </c>
      <c r="D72" s="166" t="s">
        <v>400</v>
      </c>
      <c r="E72" s="166" t="s">
        <v>401</v>
      </c>
      <c r="F72" s="166"/>
      <c r="G72" s="167" t="s">
        <v>29</v>
      </c>
      <c r="H72" s="167"/>
      <c r="I72" s="167"/>
      <c r="J72" s="168"/>
      <c r="K72" s="167" t="s">
        <v>29</v>
      </c>
      <c r="L72" s="167"/>
      <c r="M72" s="167"/>
      <c r="N72" s="168"/>
      <c r="O72" s="167"/>
      <c r="P72" s="167"/>
      <c r="Q72" s="167"/>
      <c r="R72" s="167"/>
    </row>
    <row r="73" spans="1:18" ht="96.6" customHeight="1" x14ac:dyDescent="0.25">
      <c r="A73" s="166" t="s">
        <v>402</v>
      </c>
      <c r="B73" s="166" t="s">
        <v>403</v>
      </c>
      <c r="C73" s="166" t="s">
        <v>404</v>
      </c>
      <c r="D73" s="166" t="s">
        <v>405</v>
      </c>
      <c r="E73" s="166" t="s">
        <v>406</v>
      </c>
      <c r="F73" s="166"/>
      <c r="G73" s="167" t="s">
        <v>29</v>
      </c>
      <c r="H73" s="167"/>
      <c r="I73" s="167"/>
      <c r="J73" s="168"/>
      <c r="K73" s="167" t="s">
        <v>29</v>
      </c>
      <c r="L73" s="167"/>
      <c r="M73" s="167"/>
      <c r="N73" s="168"/>
      <c r="O73" s="167"/>
      <c r="P73" s="167"/>
      <c r="Q73" s="167"/>
      <c r="R73" s="167"/>
    </row>
    <row r="74" spans="1:18" ht="69" customHeight="1" x14ac:dyDescent="0.25">
      <c r="A74" s="166" t="s">
        <v>407</v>
      </c>
      <c r="B74" s="166" t="s">
        <v>408</v>
      </c>
      <c r="C74" s="166" t="s">
        <v>404</v>
      </c>
      <c r="D74" s="166" t="s">
        <v>409</v>
      </c>
      <c r="E74" s="166" t="s">
        <v>410</v>
      </c>
      <c r="F74" s="166"/>
      <c r="G74" s="167" t="s">
        <v>29</v>
      </c>
      <c r="H74" s="167"/>
      <c r="I74" s="167"/>
      <c r="J74" s="168"/>
      <c r="K74" s="167" t="s">
        <v>29</v>
      </c>
      <c r="L74" s="167"/>
      <c r="M74" s="167"/>
      <c r="N74" s="168"/>
      <c r="O74" s="167"/>
      <c r="P74" s="167"/>
      <c r="Q74" s="167"/>
      <c r="R74" s="167"/>
    </row>
    <row r="75" spans="1:18" ht="69" customHeight="1" x14ac:dyDescent="0.25">
      <c r="A75" s="166" t="s">
        <v>411</v>
      </c>
      <c r="B75" s="166" t="s">
        <v>412</v>
      </c>
      <c r="C75" s="166" t="s">
        <v>413</v>
      </c>
      <c r="D75" s="166" t="s">
        <v>414</v>
      </c>
      <c r="E75" s="166" t="s">
        <v>415</v>
      </c>
      <c r="F75" s="166"/>
      <c r="G75" s="167" t="s">
        <v>29</v>
      </c>
      <c r="H75" s="167"/>
      <c r="I75" s="167"/>
      <c r="J75" s="168"/>
      <c r="K75" s="167" t="s">
        <v>29</v>
      </c>
      <c r="L75" s="167"/>
      <c r="M75" s="167"/>
      <c r="N75" s="168"/>
      <c r="O75" s="167"/>
      <c r="P75" s="167"/>
      <c r="Q75" s="167"/>
      <c r="R75" s="167"/>
    </row>
    <row r="76" spans="1:18" ht="69" customHeight="1" x14ac:dyDescent="0.25">
      <c r="A76" s="166" t="s">
        <v>416</v>
      </c>
      <c r="B76" s="166" t="s">
        <v>417</v>
      </c>
      <c r="C76" s="166" t="s">
        <v>418</v>
      </c>
      <c r="D76" s="166" t="s">
        <v>419</v>
      </c>
      <c r="E76" s="166" t="s">
        <v>420</v>
      </c>
      <c r="F76" s="166" t="s">
        <v>421</v>
      </c>
      <c r="G76" s="167" t="s">
        <v>29</v>
      </c>
      <c r="H76" s="167"/>
      <c r="I76" s="167"/>
      <c r="J76" s="168"/>
      <c r="K76" s="167" t="s">
        <v>29</v>
      </c>
      <c r="L76" s="167"/>
      <c r="M76" s="167"/>
      <c r="N76" s="168"/>
      <c r="O76" s="167"/>
      <c r="P76" s="167"/>
      <c r="Q76" s="167"/>
      <c r="R76" s="167"/>
    </row>
    <row r="77" spans="1:18" ht="69" customHeight="1" x14ac:dyDescent="0.25">
      <c r="A77" s="166" t="s">
        <v>422</v>
      </c>
      <c r="B77" s="166" t="s">
        <v>423</v>
      </c>
      <c r="C77" s="166" t="s">
        <v>424</v>
      </c>
      <c r="D77" s="166" t="s">
        <v>425</v>
      </c>
      <c r="E77" s="166" t="s">
        <v>426</v>
      </c>
      <c r="F77" s="166" t="s">
        <v>427</v>
      </c>
      <c r="G77" s="167" t="s">
        <v>29</v>
      </c>
      <c r="H77" s="167"/>
      <c r="I77" s="167"/>
      <c r="J77" s="168"/>
      <c r="K77" s="167" t="s">
        <v>29</v>
      </c>
      <c r="L77" s="167"/>
      <c r="M77" s="167"/>
      <c r="N77" s="168"/>
      <c r="O77" s="167"/>
      <c r="P77" s="167"/>
      <c r="Q77" s="167"/>
      <c r="R77" s="167"/>
    </row>
    <row r="78" spans="1:18" ht="69" customHeight="1" x14ac:dyDescent="0.25">
      <c r="A78" s="166" t="s">
        <v>428</v>
      </c>
      <c r="B78" s="166" t="s">
        <v>429</v>
      </c>
      <c r="C78" s="166" t="s">
        <v>430</v>
      </c>
      <c r="D78" s="166" t="s">
        <v>431</v>
      </c>
      <c r="E78" s="166" t="s">
        <v>432</v>
      </c>
      <c r="F78" s="166" t="s">
        <v>433</v>
      </c>
      <c r="G78" s="167" t="s">
        <v>29</v>
      </c>
      <c r="H78" s="167"/>
      <c r="I78" s="167"/>
      <c r="J78" s="168"/>
      <c r="K78" s="167" t="s">
        <v>29</v>
      </c>
      <c r="L78" s="167"/>
      <c r="M78" s="167"/>
      <c r="N78" s="168"/>
      <c r="O78" s="167"/>
      <c r="P78" s="167"/>
      <c r="Q78" s="167"/>
      <c r="R78" s="167"/>
    </row>
    <row r="79" spans="1:18" ht="41.4" customHeight="1" x14ac:dyDescent="0.25">
      <c r="A79" s="166" t="s">
        <v>434</v>
      </c>
      <c r="B79" s="166" t="s">
        <v>435</v>
      </c>
      <c r="C79" s="166" t="s">
        <v>436</v>
      </c>
      <c r="D79" s="166" t="s">
        <v>437</v>
      </c>
      <c r="E79" s="166" t="s">
        <v>438</v>
      </c>
      <c r="F79" s="166"/>
      <c r="G79" s="167" t="s">
        <v>29</v>
      </c>
      <c r="H79" s="167"/>
      <c r="I79" s="167"/>
      <c r="J79" s="168"/>
      <c r="K79" s="167" t="s">
        <v>29</v>
      </c>
      <c r="L79" s="167"/>
      <c r="M79" s="167"/>
      <c r="N79" s="168"/>
      <c r="O79" s="167"/>
      <c r="P79" s="167"/>
      <c r="Q79" s="167"/>
      <c r="R79" s="167"/>
    </row>
    <row r="80" spans="1:18" ht="41.4" customHeight="1" x14ac:dyDescent="0.25">
      <c r="A80" s="166" t="s">
        <v>439</v>
      </c>
      <c r="B80" s="166" t="s">
        <v>440</v>
      </c>
      <c r="C80" s="166" t="s">
        <v>441</v>
      </c>
      <c r="D80" s="166" t="s">
        <v>442</v>
      </c>
      <c r="E80" s="166" t="s">
        <v>443</v>
      </c>
      <c r="F80" s="166"/>
      <c r="G80" s="167" t="s">
        <v>29</v>
      </c>
      <c r="H80" s="167"/>
      <c r="I80" s="167"/>
      <c r="J80" s="168"/>
      <c r="K80" s="167" t="s">
        <v>29</v>
      </c>
      <c r="L80" s="167"/>
      <c r="M80" s="167"/>
      <c r="N80" s="168"/>
      <c r="O80" s="167"/>
      <c r="P80" s="167"/>
      <c r="Q80" s="167"/>
      <c r="R80" s="167"/>
    </row>
    <row r="81" spans="1:18" ht="41.4" customHeight="1" x14ac:dyDescent="0.25">
      <c r="A81" s="166" t="s">
        <v>444</v>
      </c>
      <c r="B81" s="166" t="s">
        <v>445</v>
      </c>
      <c r="C81" s="166" t="s">
        <v>446</v>
      </c>
      <c r="D81" s="166" t="s">
        <v>447</v>
      </c>
      <c r="E81" s="166" t="s">
        <v>448</v>
      </c>
      <c r="F81" s="166"/>
      <c r="G81" s="167" t="s">
        <v>29</v>
      </c>
      <c r="H81" s="167"/>
      <c r="I81" s="167"/>
      <c r="J81" s="168"/>
      <c r="K81" s="167" t="s">
        <v>29</v>
      </c>
      <c r="L81" s="167"/>
      <c r="M81" s="167"/>
      <c r="N81" s="168"/>
      <c r="O81" s="167"/>
      <c r="P81" s="167"/>
      <c r="Q81" s="167"/>
      <c r="R81" s="167"/>
    </row>
    <row r="82" spans="1:18" ht="69" customHeight="1" x14ac:dyDescent="0.25">
      <c r="A82" s="166" t="s">
        <v>449</v>
      </c>
      <c r="B82" s="166" t="s">
        <v>450</v>
      </c>
      <c r="C82" s="166" t="s">
        <v>451</v>
      </c>
      <c r="D82" s="166" t="s">
        <v>452</v>
      </c>
      <c r="E82" s="166" t="s">
        <v>453</v>
      </c>
      <c r="F82" s="166"/>
      <c r="G82" s="167" t="s">
        <v>29</v>
      </c>
      <c r="H82" s="167"/>
      <c r="I82" s="167"/>
      <c r="J82" s="168"/>
      <c r="K82" s="167" t="s">
        <v>29</v>
      </c>
      <c r="L82" s="167"/>
      <c r="M82" s="167"/>
      <c r="N82" s="168"/>
      <c r="O82" s="167"/>
      <c r="P82" s="167"/>
      <c r="Q82" s="167"/>
      <c r="R82" s="167"/>
    </row>
    <row r="83" spans="1:18" ht="69" customHeight="1" x14ac:dyDescent="0.25">
      <c r="A83" s="166" t="s">
        <v>454</v>
      </c>
      <c r="B83" s="166" t="s">
        <v>455</v>
      </c>
      <c r="C83" s="166" t="s">
        <v>456</v>
      </c>
      <c r="D83" s="166" t="s">
        <v>457</v>
      </c>
      <c r="E83" s="166" t="s">
        <v>458</v>
      </c>
      <c r="F83" s="166"/>
      <c r="G83" s="167" t="s">
        <v>29</v>
      </c>
      <c r="H83" s="167"/>
      <c r="I83" s="167"/>
      <c r="J83" s="168"/>
      <c r="K83" s="167" t="s">
        <v>29</v>
      </c>
      <c r="L83" s="167"/>
      <c r="M83" s="167"/>
      <c r="N83" s="168"/>
      <c r="O83" s="167"/>
      <c r="P83" s="167"/>
      <c r="Q83" s="167"/>
      <c r="R83" s="167"/>
    </row>
    <row r="84" spans="1:18" ht="55.2" customHeight="1" x14ac:dyDescent="0.25">
      <c r="A84" s="166" t="s">
        <v>459</v>
      </c>
      <c r="B84" s="166" t="s">
        <v>460</v>
      </c>
      <c r="C84" s="166" t="s">
        <v>461</v>
      </c>
      <c r="D84" s="166" t="s">
        <v>462</v>
      </c>
      <c r="E84" s="166" t="s">
        <v>463</v>
      </c>
      <c r="F84" s="166"/>
      <c r="G84" s="167" t="s">
        <v>29</v>
      </c>
      <c r="H84" s="167"/>
      <c r="I84" s="167"/>
      <c r="J84" s="168"/>
      <c r="K84" s="167" t="s">
        <v>29</v>
      </c>
      <c r="L84" s="167"/>
      <c r="M84" s="167"/>
      <c r="N84" s="168"/>
      <c r="O84" s="167"/>
      <c r="P84" s="167"/>
      <c r="Q84" s="167"/>
      <c r="R84" s="167"/>
    </row>
    <row r="85" spans="1:18" ht="55.2" customHeight="1" x14ac:dyDescent="0.25">
      <c r="A85" s="166" t="s">
        <v>464</v>
      </c>
      <c r="B85" s="166" t="s">
        <v>465</v>
      </c>
      <c r="C85" s="166" t="s">
        <v>466</v>
      </c>
      <c r="D85" s="166" t="s">
        <v>462</v>
      </c>
      <c r="E85" s="166" t="s">
        <v>467</v>
      </c>
      <c r="F85" s="166"/>
      <c r="G85" s="167" t="s">
        <v>29</v>
      </c>
      <c r="H85" s="167"/>
      <c r="I85" s="167"/>
      <c r="J85" s="168"/>
      <c r="K85" s="167" t="s">
        <v>29</v>
      </c>
      <c r="L85" s="167"/>
      <c r="M85" s="167"/>
      <c r="N85" s="168"/>
      <c r="O85" s="167"/>
      <c r="P85" s="167"/>
      <c r="Q85" s="167"/>
      <c r="R85" s="167"/>
    </row>
    <row r="86" spans="1:18" ht="55.2" customHeight="1" x14ac:dyDescent="0.25">
      <c r="A86" s="166" t="s">
        <v>468</v>
      </c>
      <c r="B86" s="166" t="s">
        <v>469</v>
      </c>
      <c r="C86" s="166" t="s">
        <v>470</v>
      </c>
      <c r="D86" s="166" t="s">
        <v>471</v>
      </c>
      <c r="E86" s="166" t="s">
        <v>472</v>
      </c>
      <c r="F86" s="166"/>
      <c r="G86" s="167" t="s">
        <v>29</v>
      </c>
      <c r="H86" s="167"/>
      <c r="I86" s="167"/>
      <c r="J86" s="168"/>
      <c r="K86" s="167" t="s">
        <v>29</v>
      </c>
      <c r="L86" s="167"/>
      <c r="M86" s="167"/>
      <c r="N86" s="168"/>
      <c r="O86" s="167"/>
      <c r="P86" s="167"/>
      <c r="Q86" s="167"/>
      <c r="R86" s="167"/>
    </row>
    <row r="87" spans="1:18" ht="27.6" x14ac:dyDescent="0.25">
      <c r="A87" s="166" t="s">
        <v>473</v>
      </c>
      <c r="B87" s="166" t="s">
        <v>474</v>
      </c>
      <c r="C87" s="166" t="s">
        <v>475</v>
      </c>
      <c r="D87" s="166" t="s">
        <v>476</v>
      </c>
      <c r="E87" s="166" t="s">
        <v>477</v>
      </c>
      <c r="F87" s="166"/>
      <c r="G87" s="170" t="s">
        <v>29</v>
      </c>
      <c r="H87" s="170"/>
      <c r="I87" s="170"/>
      <c r="J87" s="170"/>
      <c r="K87" s="170" t="s">
        <v>29</v>
      </c>
      <c r="L87" s="170"/>
      <c r="M87" s="170"/>
      <c r="N87" s="170"/>
      <c r="O87" s="170"/>
      <c r="P87" s="170"/>
      <c r="Q87" s="170"/>
      <c r="R87" s="170"/>
    </row>
    <row r="88" spans="1:18" ht="41.4" x14ac:dyDescent="0.25">
      <c r="A88" s="166" t="s">
        <v>478</v>
      </c>
      <c r="B88" s="166" t="s">
        <v>479</v>
      </c>
      <c r="C88" s="166" t="s">
        <v>480</v>
      </c>
      <c r="D88" s="166" t="s">
        <v>481</v>
      </c>
      <c r="E88" s="166" t="s">
        <v>482</v>
      </c>
      <c r="F88" s="166"/>
      <c r="G88" s="170" t="s">
        <v>29</v>
      </c>
      <c r="H88" s="170"/>
      <c r="I88" s="170"/>
      <c r="J88" s="170"/>
      <c r="K88" s="170" t="s">
        <v>29</v>
      </c>
      <c r="L88" s="170"/>
      <c r="M88" s="170"/>
      <c r="N88" s="170"/>
      <c r="O88" s="170"/>
      <c r="P88" s="170"/>
      <c r="Q88" s="170"/>
      <c r="R88" s="170"/>
    </row>
    <row r="89" spans="1:18" ht="41.4" x14ac:dyDescent="0.25">
      <c r="A89" s="166" t="s">
        <v>483</v>
      </c>
      <c r="B89" s="166" t="s">
        <v>484</v>
      </c>
      <c r="C89" s="166" t="s">
        <v>485</v>
      </c>
      <c r="D89" s="166" t="s">
        <v>486</v>
      </c>
      <c r="E89" s="166" t="s">
        <v>487</v>
      </c>
      <c r="F89" s="166"/>
      <c r="G89" s="170" t="s">
        <v>29</v>
      </c>
      <c r="H89" s="170"/>
      <c r="I89" s="170"/>
      <c r="J89" s="170"/>
      <c r="K89" s="170" t="s">
        <v>29</v>
      </c>
      <c r="L89" s="170"/>
      <c r="M89" s="170"/>
      <c r="N89" s="170"/>
      <c r="O89" s="170"/>
      <c r="P89" s="170"/>
      <c r="Q89" s="170"/>
      <c r="R89" s="170"/>
    </row>
    <row r="90" spans="1:18" ht="41.4" x14ac:dyDescent="0.25">
      <c r="A90" s="166" t="s">
        <v>488</v>
      </c>
      <c r="B90" s="166" t="s">
        <v>489</v>
      </c>
      <c r="C90" s="166" t="s">
        <v>490</v>
      </c>
      <c r="D90" s="166" t="s">
        <v>491</v>
      </c>
      <c r="E90" s="166" t="s">
        <v>492</v>
      </c>
      <c r="F90" s="166"/>
      <c r="G90" s="170" t="s">
        <v>29</v>
      </c>
      <c r="H90" s="170"/>
      <c r="I90" s="170"/>
      <c r="J90" s="170"/>
      <c r="K90" s="170" t="s">
        <v>29</v>
      </c>
      <c r="L90" s="170"/>
      <c r="M90" s="170"/>
      <c r="N90" s="170"/>
      <c r="O90" s="170"/>
      <c r="P90" s="170"/>
      <c r="Q90" s="170"/>
      <c r="R90" s="170"/>
    </row>
    <row r="91" spans="1:18" ht="41.4" x14ac:dyDescent="0.25">
      <c r="A91" s="166" t="s">
        <v>493</v>
      </c>
      <c r="B91" s="166" t="s">
        <v>494</v>
      </c>
      <c r="C91" s="166" t="s">
        <v>495</v>
      </c>
      <c r="D91" s="166" t="s">
        <v>491</v>
      </c>
      <c r="E91" s="166" t="s">
        <v>496</v>
      </c>
      <c r="F91" s="166"/>
      <c r="G91" s="170" t="s">
        <v>29</v>
      </c>
      <c r="H91" s="170"/>
      <c r="I91" s="170"/>
      <c r="J91" s="170"/>
      <c r="K91" s="170" t="s">
        <v>29</v>
      </c>
      <c r="L91" s="170"/>
      <c r="M91" s="170"/>
      <c r="N91" s="170"/>
      <c r="O91" s="170"/>
      <c r="P91" s="170"/>
      <c r="Q91" s="170"/>
      <c r="R91" s="170"/>
    </row>
    <row r="92" spans="1:18" ht="41.4" x14ac:dyDescent="0.25">
      <c r="A92" s="166" t="s">
        <v>497</v>
      </c>
      <c r="B92" s="166" t="s">
        <v>498</v>
      </c>
      <c r="C92" s="166" t="s">
        <v>499</v>
      </c>
      <c r="D92" s="166" t="s">
        <v>214</v>
      </c>
      <c r="E92" s="166" t="s">
        <v>500</v>
      </c>
      <c r="F92" s="166"/>
      <c r="G92" s="170" t="s">
        <v>29</v>
      </c>
      <c r="H92" s="170"/>
      <c r="I92" s="170"/>
      <c r="J92" s="170"/>
      <c r="K92" s="170" t="s">
        <v>29</v>
      </c>
      <c r="L92" s="170"/>
      <c r="M92" s="170"/>
      <c r="N92" s="170"/>
      <c r="O92" s="170"/>
      <c r="P92" s="170"/>
      <c r="Q92" s="170"/>
      <c r="R92" s="170"/>
    </row>
    <row r="93" spans="1:18" ht="27.6" x14ac:dyDescent="0.25">
      <c r="A93" s="166" t="s">
        <v>501</v>
      </c>
      <c r="B93" s="166" t="s">
        <v>502</v>
      </c>
      <c r="C93" s="166" t="s">
        <v>503</v>
      </c>
      <c r="D93" s="166" t="s">
        <v>504</v>
      </c>
      <c r="E93" s="166" t="s">
        <v>505</v>
      </c>
      <c r="F93" s="166" t="s">
        <v>8</v>
      </c>
      <c r="G93" s="170" t="s">
        <v>29</v>
      </c>
      <c r="H93" s="170"/>
      <c r="I93" s="170"/>
      <c r="J93" s="170"/>
      <c r="K93" s="170" t="s">
        <v>29</v>
      </c>
      <c r="L93" s="170"/>
      <c r="M93" s="170"/>
      <c r="N93" s="170"/>
      <c r="O93" s="170"/>
      <c r="P93" s="170"/>
      <c r="Q93" s="170"/>
      <c r="R93" s="170"/>
    </row>
    <row r="94" spans="1:18" ht="27.6" x14ac:dyDescent="0.25">
      <c r="A94" s="166" t="s">
        <v>506</v>
      </c>
      <c r="B94" s="166" t="s">
        <v>507</v>
      </c>
      <c r="C94" s="166" t="s">
        <v>508</v>
      </c>
      <c r="D94" s="166" t="s">
        <v>509</v>
      </c>
      <c r="E94" s="166" t="s">
        <v>510</v>
      </c>
      <c r="F94" s="166"/>
      <c r="G94" s="170" t="s">
        <v>29</v>
      </c>
      <c r="H94" s="170"/>
      <c r="I94" s="170"/>
      <c r="J94" s="170"/>
      <c r="K94" s="170" t="s">
        <v>29</v>
      </c>
      <c r="L94" s="170"/>
      <c r="M94" s="170"/>
      <c r="N94" s="170"/>
      <c r="O94" s="170"/>
      <c r="P94" s="170"/>
      <c r="Q94" s="170"/>
      <c r="R94" s="170"/>
    </row>
    <row r="95" spans="1:18" ht="27.6" x14ac:dyDescent="0.25">
      <c r="A95" s="166" t="s">
        <v>511</v>
      </c>
      <c r="B95" s="166" t="s">
        <v>512</v>
      </c>
      <c r="C95" s="166" t="s">
        <v>513</v>
      </c>
      <c r="D95" s="166" t="s">
        <v>514</v>
      </c>
      <c r="E95" s="166" t="s">
        <v>515</v>
      </c>
      <c r="F95" s="166"/>
      <c r="G95" s="170" t="s">
        <v>29</v>
      </c>
      <c r="H95" s="170"/>
      <c r="I95" s="170"/>
      <c r="J95" s="170"/>
      <c r="K95" s="170" t="s">
        <v>29</v>
      </c>
      <c r="L95" s="170"/>
      <c r="M95" s="170"/>
      <c r="N95" s="170"/>
      <c r="O95" s="170"/>
      <c r="P95" s="170"/>
      <c r="Q95" s="170"/>
      <c r="R95" s="170"/>
    </row>
    <row r="96" spans="1:18" ht="27.6" x14ac:dyDescent="0.25">
      <c r="A96" s="166" t="s">
        <v>516</v>
      </c>
      <c r="B96" s="166" t="s">
        <v>517</v>
      </c>
      <c r="C96" s="166" t="s">
        <v>518</v>
      </c>
      <c r="D96" s="166" t="s">
        <v>519</v>
      </c>
      <c r="E96" s="166" t="s">
        <v>520</v>
      </c>
      <c r="F96" s="166"/>
      <c r="G96" s="170" t="s">
        <v>29</v>
      </c>
      <c r="H96" s="170"/>
      <c r="I96" s="170"/>
      <c r="J96" s="170"/>
      <c r="K96" s="170" t="s">
        <v>29</v>
      </c>
      <c r="L96" s="170"/>
      <c r="M96" s="170"/>
      <c r="N96" s="170"/>
      <c r="O96" s="170"/>
      <c r="P96" s="170"/>
      <c r="Q96" s="170"/>
      <c r="R96" s="170"/>
    </row>
    <row r="97" spans="1:18" ht="27.6" x14ac:dyDescent="0.25">
      <c r="A97" s="166" t="s">
        <v>521</v>
      </c>
      <c r="B97" s="166" t="s">
        <v>522</v>
      </c>
      <c r="C97" s="166" t="s">
        <v>523</v>
      </c>
      <c r="D97" s="166" t="s">
        <v>524</v>
      </c>
      <c r="E97" s="166" t="s">
        <v>525</v>
      </c>
      <c r="F97" s="166" t="s">
        <v>526</v>
      </c>
      <c r="G97" s="170" t="s">
        <v>29</v>
      </c>
      <c r="H97" s="170"/>
      <c r="I97" s="170"/>
      <c r="J97" s="170"/>
      <c r="K97" s="170" t="s">
        <v>29</v>
      </c>
      <c r="L97" s="170"/>
      <c r="M97" s="170"/>
      <c r="N97" s="170"/>
      <c r="O97" s="170"/>
      <c r="P97" s="170"/>
      <c r="Q97" s="170"/>
      <c r="R97" s="170"/>
    </row>
    <row r="98" spans="1:18" ht="27.6" x14ac:dyDescent="0.25">
      <c r="A98" s="166" t="s">
        <v>527</v>
      </c>
      <c r="B98" s="166" t="s">
        <v>528</v>
      </c>
      <c r="C98" s="166" t="s">
        <v>529</v>
      </c>
      <c r="D98" s="166" t="s">
        <v>530</v>
      </c>
      <c r="E98" s="166" t="s">
        <v>531</v>
      </c>
      <c r="F98" s="166" t="s">
        <v>532</v>
      </c>
      <c r="G98" s="170" t="s">
        <v>29</v>
      </c>
      <c r="H98" s="170"/>
      <c r="I98" s="170"/>
      <c r="J98" s="170"/>
      <c r="K98" s="170" t="s">
        <v>29</v>
      </c>
      <c r="L98" s="170"/>
      <c r="M98" s="170"/>
      <c r="N98" s="170"/>
      <c r="O98" s="170"/>
      <c r="P98" s="170"/>
      <c r="Q98" s="170"/>
      <c r="R98" s="170"/>
    </row>
    <row r="99" spans="1:18" ht="27.6" x14ac:dyDescent="0.25">
      <c r="A99" s="166" t="s">
        <v>533</v>
      </c>
      <c r="B99" s="166" t="s">
        <v>534</v>
      </c>
      <c r="C99" s="166" t="s">
        <v>535</v>
      </c>
      <c r="D99" s="166" t="s">
        <v>536</v>
      </c>
      <c r="E99" s="166" t="s">
        <v>537</v>
      </c>
      <c r="F99" s="166"/>
      <c r="G99" s="170" t="s">
        <v>29</v>
      </c>
      <c r="H99" s="170"/>
      <c r="I99" s="170"/>
      <c r="J99" s="170"/>
      <c r="K99" s="170" t="s">
        <v>29</v>
      </c>
      <c r="L99" s="170"/>
      <c r="M99" s="170"/>
      <c r="N99" s="170"/>
      <c r="O99" s="170"/>
      <c r="P99" s="170"/>
      <c r="Q99" s="170"/>
      <c r="R99" s="170"/>
    </row>
    <row r="100" spans="1:18" ht="27.6" x14ac:dyDescent="0.25">
      <c r="A100" s="166" t="s">
        <v>538</v>
      </c>
      <c r="B100" s="166" t="s">
        <v>539</v>
      </c>
      <c r="C100" s="166" t="s">
        <v>540</v>
      </c>
      <c r="D100" s="166" t="s">
        <v>514</v>
      </c>
      <c r="E100" s="166" t="s">
        <v>541</v>
      </c>
      <c r="F100" s="166"/>
      <c r="G100" s="170" t="s">
        <v>29</v>
      </c>
      <c r="H100" s="170"/>
      <c r="I100" s="170"/>
      <c r="J100" s="170"/>
      <c r="K100" s="170" t="s">
        <v>29</v>
      </c>
      <c r="L100" s="170"/>
      <c r="M100" s="170"/>
      <c r="N100" s="170"/>
      <c r="O100" s="170"/>
      <c r="P100" s="170"/>
      <c r="Q100" s="170"/>
      <c r="R100" s="170"/>
    </row>
    <row r="101" spans="1:18" ht="27.6" x14ac:dyDescent="0.25">
      <c r="A101" s="166" t="s">
        <v>542</v>
      </c>
      <c r="B101" s="166" t="s">
        <v>543</v>
      </c>
      <c r="C101" s="166" t="s">
        <v>544</v>
      </c>
      <c r="D101" s="166" t="s">
        <v>545</v>
      </c>
      <c r="E101" s="166" t="s">
        <v>546</v>
      </c>
      <c r="F101" s="166"/>
      <c r="G101" s="170" t="s">
        <v>29</v>
      </c>
      <c r="H101" s="170"/>
      <c r="I101" s="170"/>
      <c r="J101" s="170"/>
      <c r="K101" s="170" t="s">
        <v>29</v>
      </c>
      <c r="L101" s="170"/>
      <c r="M101" s="170"/>
      <c r="N101" s="170"/>
      <c r="O101" s="170"/>
      <c r="P101" s="170"/>
      <c r="Q101" s="170"/>
      <c r="R101" s="170"/>
    </row>
    <row r="102" spans="1:18" ht="27.6" x14ac:dyDescent="0.25">
      <c r="A102" s="166" t="s">
        <v>547</v>
      </c>
      <c r="B102" s="166" t="s">
        <v>548</v>
      </c>
      <c r="C102" s="166" t="s">
        <v>549</v>
      </c>
      <c r="D102" s="166" t="s">
        <v>550</v>
      </c>
      <c r="E102" s="166" t="s">
        <v>551</v>
      </c>
      <c r="F102" s="166" t="s">
        <v>552</v>
      </c>
      <c r="G102" s="170" t="s">
        <v>29</v>
      </c>
      <c r="H102" s="170"/>
      <c r="I102" s="170"/>
      <c r="J102" s="170"/>
      <c r="K102" s="170" t="s">
        <v>29</v>
      </c>
      <c r="L102" s="170"/>
      <c r="M102" s="170"/>
      <c r="N102" s="170"/>
      <c r="O102" s="170"/>
      <c r="P102" s="170"/>
      <c r="Q102" s="170"/>
      <c r="R102" s="170"/>
    </row>
    <row r="103" spans="1:18" ht="69" x14ac:dyDescent="0.25">
      <c r="A103" s="166" t="s">
        <v>553</v>
      </c>
      <c r="B103" s="166" t="s">
        <v>554</v>
      </c>
      <c r="C103" s="166" t="s">
        <v>555</v>
      </c>
      <c r="D103" s="166" t="s">
        <v>556</v>
      </c>
      <c r="E103" s="166" t="s">
        <v>557</v>
      </c>
      <c r="F103" s="166"/>
      <c r="G103" s="170" t="s">
        <v>29</v>
      </c>
      <c r="H103" s="170"/>
      <c r="I103" s="170"/>
      <c r="J103" s="170"/>
      <c r="K103" s="170" t="s">
        <v>29</v>
      </c>
      <c r="L103" s="170"/>
      <c r="M103" s="170"/>
      <c r="N103" s="170"/>
      <c r="O103" s="170"/>
      <c r="P103" s="170"/>
      <c r="Q103" s="170"/>
      <c r="R103" s="170"/>
    </row>
    <row r="104" spans="1:18" ht="41.4" x14ac:dyDescent="0.25">
      <c r="A104" s="166" t="s">
        <v>558</v>
      </c>
      <c r="B104" s="166" t="s">
        <v>559</v>
      </c>
      <c r="C104" s="166" t="s">
        <v>560</v>
      </c>
      <c r="D104" s="166" t="s">
        <v>561</v>
      </c>
      <c r="E104" s="166" t="s">
        <v>562</v>
      </c>
      <c r="F104" s="166"/>
      <c r="G104" s="170" t="s">
        <v>29</v>
      </c>
      <c r="H104" s="170"/>
      <c r="I104" s="170"/>
      <c r="J104" s="170"/>
      <c r="K104" s="170" t="s">
        <v>29</v>
      </c>
      <c r="L104" s="170"/>
      <c r="M104" s="170"/>
      <c r="N104" s="170"/>
      <c r="O104" s="170"/>
      <c r="P104" s="170"/>
      <c r="Q104" s="170"/>
      <c r="R104" s="170"/>
    </row>
    <row r="105" spans="1:18" ht="41.4" x14ac:dyDescent="0.25">
      <c r="A105" s="166" t="s">
        <v>563</v>
      </c>
      <c r="B105" s="166" t="s">
        <v>564</v>
      </c>
      <c r="C105" s="166" t="s">
        <v>560</v>
      </c>
      <c r="D105" s="166" t="s">
        <v>565</v>
      </c>
      <c r="E105" s="166" t="s">
        <v>566</v>
      </c>
      <c r="F105" s="166"/>
      <c r="G105" s="170" t="s">
        <v>29</v>
      </c>
      <c r="H105" s="170"/>
      <c r="I105" s="170"/>
      <c r="J105" s="170"/>
      <c r="K105" s="170" t="s">
        <v>29</v>
      </c>
      <c r="L105" s="170"/>
      <c r="M105" s="170"/>
      <c r="N105" s="170"/>
      <c r="O105" s="170"/>
      <c r="P105" s="170"/>
      <c r="Q105" s="170"/>
      <c r="R105" s="170"/>
    </row>
    <row r="106" spans="1:18" ht="27.6" x14ac:dyDescent="0.25">
      <c r="A106" s="166" t="s">
        <v>567</v>
      </c>
      <c r="B106" s="166" t="s">
        <v>568</v>
      </c>
      <c r="C106" s="166" t="s">
        <v>560</v>
      </c>
      <c r="D106" s="166" t="s">
        <v>569</v>
      </c>
      <c r="E106" s="166" t="s">
        <v>570</v>
      </c>
      <c r="F106" s="166"/>
      <c r="G106" s="170" t="s">
        <v>29</v>
      </c>
      <c r="H106" s="170"/>
      <c r="I106" s="170"/>
      <c r="J106" s="170"/>
      <c r="K106" s="170" t="s">
        <v>29</v>
      </c>
      <c r="L106" s="170"/>
      <c r="M106" s="170"/>
      <c r="N106" s="170"/>
      <c r="O106" s="170"/>
      <c r="P106" s="170"/>
      <c r="Q106" s="170"/>
      <c r="R106" s="170"/>
    </row>
    <row r="107" spans="1:18" ht="41.4" x14ac:dyDescent="0.25">
      <c r="A107" s="166" t="s">
        <v>571</v>
      </c>
      <c r="B107" s="166" t="s">
        <v>572</v>
      </c>
      <c r="C107" s="166" t="s">
        <v>573</v>
      </c>
      <c r="D107" s="166" t="s">
        <v>574</v>
      </c>
      <c r="E107" s="166" t="s">
        <v>575</v>
      </c>
      <c r="F107" s="166"/>
      <c r="G107" s="170" t="s">
        <v>29</v>
      </c>
      <c r="H107" s="170"/>
      <c r="I107" s="170"/>
      <c r="J107" s="170"/>
      <c r="K107" s="170" t="s">
        <v>29</v>
      </c>
      <c r="L107" s="170"/>
      <c r="M107" s="170"/>
      <c r="N107" s="170"/>
      <c r="O107" s="170"/>
      <c r="P107" s="170"/>
      <c r="Q107" s="170"/>
      <c r="R107" s="170"/>
    </row>
    <row r="108" spans="1:18" ht="27.6" x14ac:dyDescent="0.25">
      <c r="A108" s="166" t="s">
        <v>576</v>
      </c>
      <c r="B108" s="166" t="s">
        <v>577</v>
      </c>
      <c r="C108" s="166" t="s">
        <v>578</v>
      </c>
      <c r="D108" s="166" t="s">
        <v>579</v>
      </c>
      <c r="E108" s="166" t="s">
        <v>580</v>
      </c>
      <c r="F108" s="166"/>
      <c r="G108" s="170" t="s">
        <v>29</v>
      </c>
      <c r="H108" s="170"/>
      <c r="I108" s="170"/>
      <c r="J108" s="170"/>
      <c r="K108" s="170" t="s">
        <v>29</v>
      </c>
      <c r="L108" s="170"/>
      <c r="M108" s="170"/>
      <c r="N108" s="170"/>
      <c r="O108" s="170"/>
      <c r="P108" s="170"/>
      <c r="Q108" s="170"/>
      <c r="R108" s="170"/>
    </row>
    <row r="109" spans="1:18" ht="41.4" x14ac:dyDescent="0.25">
      <c r="A109" s="166" t="s">
        <v>581</v>
      </c>
      <c r="B109" s="166" t="s">
        <v>582</v>
      </c>
      <c r="C109" s="166" t="s">
        <v>404</v>
      </c>
      <c r="D109" s="166" t="s">
        <v>583</v>
      </c>
      <c r="E109" s="166" t="s">
        <v>584</v>
      </c>
      <c r="F109" s="166" t="s">
        <v>321</v>
      </c>
      <c r="G109" s="170" t="s">
        <v>29</v>
      </c>
      <c r="H109" s="170"/>
      <c r="I109" s="170"/>
      <c r="J109" s="170"/>
      <c r="K109" s="170" t="s">
        <v>29</v>
      </c>
      <c r="L109" s="170"/>
      <c r="M109" s="170"/>
      <c r="N109" s="170"/>
      <c r="O109" s="170"/>
      <c r="P109" s="170"/>
      <c r="Q109" s="170"/>
      <c r="R109" s="170"/>
    </row>
    <row r="110" spans="1:18" ht="27.6" x14ac:dyDescent="0.25">
      <c r="A110" s="166" t="s">
        <v>585</v>
      </c>
      <c r="B110" s="166" t="s">
        <v>586</v>
      </c>
      <c r="C110" s="166" t="s">
        <v>587</v>
      </c>
      <c r="D110" s="166" t="s">
        <v>588</v>
      </c>
      <c r="E110" s="166" t="s">
        <v>589</v>
      </c>
      <c r="F110" s="166"/>
      <c r="G110" s="170" t="s">
        <v>29</v>
      </c>
      <c r="H110" s="170"/>
      <c r="I110" s="170"/>
      <c r="J110" s="170"/>
      <c r="K110" s="170" t="s">
        <v>29</v>
      </c>
      <c r="L110" s="170"/>
      <c r="M110" s="170"/>
      <c r="N110" s="170"/>
      <c r="O110" s="170"/>
      <c r="P110" s="170"/>
      <c r="Q110" s="170"/>
      <c r="R110" s="170"/>
    </row>
    <row r="111" spans="1:18" ht="13.2" x14ac:dyDescent="0.25">
      <c r="A111" s="174"/>
      <c r="B111" s="172" t="s">
        <v>590</v>
      </c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</row>
    <row r="112" spans="1:18" ht="13.2" x14ac:dyDescent="0.25">
      <c r="A112" s="175"/>
      <c r="B112" s="176" t="s">
        <v>591</v>
      </c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</row>
    <row r="113" spans="1:18" ht="13.8" x14ac:dyDescent="0.25">
      <c r="A113" s="166" t="s">
        <v>592</v>
      </c>
      <c r="B113" s="166" t="s">
        <v>593</v>
      </c>
      <c r="C113" s="166"/>
      <c r="D113" s="166" t="s">
        <v>594</v>
      </c>
      <c r="E113" s="166" t="s">
        <v>595</v>
      </c>
      <c r="F113" s="166"/>
      <c r="G113" s="170" t="s">
        <v>29</v>
      </c>
      <c r="H113" s="170"/>
      <c r="I113" s="170"/>
      <c r="J113" s="170"/>
      <c r="K113" s="170" t="s">
        <v>29</v>
      </c>
      <c r="L113" s="170"/>
      <c r="M113" s="170"/>
      <c r="N113" s="170"/>
      <c r="O113" s="170"/>
      <c r="P113" s="170"/>
      <c r="Q113" s="170"/>
      <c r="R113" s="170"/>
    </row>
    <row r="114" spans="1:18" ht="27.6" x14ac:dyDescent="0.25">
      <c r="A114" s="166" t="s">
        <v>596</v>
      </c>
      <c r="B114" s="166" t="s">
        <v>597</v>
      </c>
      <c r="C114" s="166"/>
      <c r="D114" s="166" t="s">
        <v>598</v>
      </c>
      <c r="E114" s="166" t="s">
        <v>599</v>
      </c>
      <c r="F114" s="166"/>
      <c r="G114" s="170" t="s">
        <v>29</v>
      </c>
      <c r="H114" s="170"/>
      <c r="I114" s="170"/>
      <c r="J114" s="170"/>
      <c r="K114" s="170" t="s">
        <v>29</v>
      </c>
      <c r="L114" s="170"/>
      <c r="M114" s="170"/>
      <c r="N114" s="170"/>
      <c r="O114" s="170"/>
      <c r="P114" s="170"/>
      <c r="Q114" s="170"/>
      <c r="R114" s="170"/>
    </row>
    <row r="115" spans="1:18" ht="69" x14ac:dyDescent="0.25">
      <c r="A115" s="166" t="s">
        <v>600</v>
      </c>
      <c r="B115" s="166" t="s">
        <v>601</v>
      </c>
      <c r="C115" s="166"/>
      <c r="D115" s="166" t="s">
        <v>602</v>
      </c>
      <c r="E115" s="166" t="s">
        <v>603</v>
      </c>
      <c r="F115" s="166"/>
      <c r="G115" s="170" t="s">
        <v>29</v>
      </c>
      <c r="H115" s="170"/>
      <c r="I115" s="170"/>
      <c r="J115" s="170"/>
      <c r="K115" s="170" t="s">
        <v>29</v>
      </c>
      <c r="L115" s="170"/>
      <c r="M115" s="170"/>
      <c r="N115" s="170"/>
      <c r="O115" s="170"/>
      <c r="P115" s="170"/>
      <c r="Q115" s="170"/>
      <c r="R115" s="170"/>
    </row>
    <row r="116" spans="1:18" ht="27.6" x14ac:dyDescent="0.25">
      <c r="A116" s="166" t="s">
        <v>604</v>
      </c>
      <c r="B116" s="166" t="s">
        <v>605</v>
      </c>
      <c r="C116" s="166"/>
      <c r="D116" s="166" t="s">
        <v>606</v>
      </c>
      <c r="E116" s="166" t="s">
        <v>607</v>
      </c>
      <c r="F116" s="166"/>
      <c r="G116" s="170" t="s">
        <v>29</v>
      </c>
      <c r="H116" s="170"/>
      <c r="I116" s="170"/>
      <c r="J116" s="170"/>
      <c r="K116" s="170" t="s">
        <v>29</v>
      </c>
      <c r="L116" s="170"/>
      <c r="M116" s="170"/>
      <c r="N116" s="170"/>
      <c r="O116" s="170"/>
      <c r="P116" s="170"/>
      <c r="Q116" s="170"/>
      <c r="R116" s="170"/>
    </row>
    <row r="117" spans="1:18" ht="27.6" x14ac:dyDescent="0.25">
      <c r="A117" s="166" t="s">
        <v>608</v>
      </c>
      <c r="B117" s="166" t="s">
        <v>609</v>
      </c>
      <c r="C117" s="166"/>
      <c r="D117" s="166" t="s">
        <v>610</v>
      </c>
      <c r="E117" s="166" t="s">
        <v>607</v>
      </c>
      <c r="F117" s="166"/>
      <c r="G117" s="170" t="s">
        <v>29</v>
      </c>
      <c r="H117" s="170"/>
      <c r="I117" s="170"/>
      <c r="J117" s="170"/>
      <c r="K117" s="170" t="s">
        <v>29</v>
      </c>
      <c r="L117" s="170"/>
      <c r="M117" s="170"/>
      <c r="N117" s="170"/>
      <c r="O117" s="170"/>
      <c r="P117" s="170"/>
      <c r="Q117" s="170"/>
      <c r="R117" s="170"/>
    </row>
    <row r="118" spans="1:18" ht="27.6" x14ac:dyDescent="0.25">
      <c r="A118" s="166" t="s">
        <v>611</v>
      </c>
      <c r="B118" s="166" t="s">
        <v>612</v>
      </c>
      <c r="C118" s="166"/>
      <c r="D118" s="166" t="s">
        <v>613</v>
      </c>
      <c r="E118" s="166" t="s">
        <v>614</v>
      </c>
      <c r="F118" s="166"/>
      <c r="G118" s="170" t="s">
        <v>29</v>
      </c>
      <c r="H118" s="170"/>
      <c r="I118" s="170"/>
      <c r="J118" s="170"/>
      <c r="K118" s="170" t="s">
        <v>29</v>
      </c>
      <c r="L118" s="170"/>
      <c r="M118" s="170"/>
      <c r="N118" s="170"/>
      <c r="O118" s="170"/>
      <c r="P118" s="170"/>
      <c r="Q118" s="170"/>
      <c r="R118" s="170"/>
    </row>
    <row r="119" spans="1:18" ht="27.6" x14ac:dyDescent="0.25">
      <c r="A119" s="166" t="s">
        <v>615</v>
      </c>
      <c r="B119" s="166" t="s">
        <v>616</v>
      </c>
      <c r="C119" s="166"/>
      <c r="D119" s="166" t="s">
        <v>617</v>
      </c>
      <c r="E119" s="166" t="s">
        <v>618</v>
      </c>
      <c r="F119" s="166"/>
      <c r="G119" s="170" t="s">
        <v>29</v>
      </c>
      <c r="H119" s="170"/>
      <c r="I119" s="170"/>
      <c r="J119" s="170"/>
      <c r="K119" s="170" t="s">
        <v>29</v>
      </c>
      <c r="L119" s="170"/>
      <c r="M119" s="170"/>
      <c r="N119" s="170"/>
      <c r="O119" s="170"/>
      <c r="P119" s="170"/>
      <c r="Q119" s="170"/>
      <c r="R119" s="170"/>
    </row>
    <row r="120" spans="1:18" ht="27.6" x14ac:dyDescent="0.25">
      <c r="A120" s="166" t="s">
        <v>619</v>
      </c>
      <c r="B120" s="166" t="s">
        <v>620</v>
      </c>
      <c r="C120" s="166"/>
      <c r="D120" s="166" t="s">
        <v>621</v>
      </c>
      <c r="E120" s="166" t="s">
        <v>618</v>
      </c>
      <c r="F120" s="166"/>
      <c r="G120" s="170" t="s">
        <v>29</v>
      </c>
      <c r="H120" s="170"/>
      <c r="I120" s="170"/>
      <c r="J120" s="170"/>
      <c r="K120" s="170" t="s">
        <v>29</v>
      </c>
      <c r="L120" s="170"/>
      <c r="M120" s="170"/>
      <c r="N120" s="170"/>
      <c r="O120" s="170"/>
      <c r="P120" s="170"/>
      <c r="Q120" s="170"/>
      <c r="R120" s="170"/>
    </row>
    <row r="121" spans="1:18" ht="13.2" x14ac:dyDescent="0.25">
      <c r="A121" s="175"/>
      <c r="B121" s="176" t="s">
        <v>622</v>
      </c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</row>
    <row r="122" spans="1:18" ht="41.4" x14ac:dyDescent="0.25">
      <c r="A122" s="166" t="s">
        <v>623</v>
      </c>
      <c r="B122" s="166" t="s">
        <v>624</v>
      </c>
      <c r="C122" s="166"/>
      <c r="D122" s="166" t="s">
        <v>625</v>
      </c>
      <c r="E122" s="166" t="s">
        <v>626</v>
      </c>
      <c r="F122" s="166"/>
      <c r="G122" s="170" t="s">
        <v>29</v>
      </c>
      <c r="H122" s="170"/>
      <c r="I122" s="170"/>
      <c r="J122" s="170"/>
      <c r="K122" s="170" t="s">
        <v>29</v>
      </c>
      <c r="L122" s="170"/>
      <c r="M122" s="170"/>
      <c r="N122" s="170"/>
      <c r="O122" s="170"/>
      <c r="P122" s="170"/>
      <c r="Q122" s="170"/>
      <c r="R122" s="170"/>
    </row>
    <row r="123" spans="1:18" ht="41.4" x14ac:dyDescent="0.25">
      <c r="A123" s="166" t="s">
        <v>627</v>
      </c>
      <c r="B123" s="166" t="s">
        <v>628</v>
      </c>
      <c r="C123" s="166"/>
      <c r="D123" s="166" t="s">
        <v>629</v>
      </c>
      <c r="E123" s="166" t="s">
        <v>626</v>
      </c>
      <c r="F123" s="166"/>
      <c r="G123" s="170" t="s">
        <v>29</v>
      </c>
      <c r="H123" s="170"/>
      <c r="I123" s="170"/>
      <c r="J123" s="170"/>
      <c r="K123" s="170" t="s">
        <v>29</v>
      </c>
      <c r="L123" s="170"/>
      <c r="M123" s="170"/>
      <c r="N123" s="170"/>
      <c r="O123" s="170"/>
      <c r="P123" s="170"/>
      <c r="Q123" s="170"/>
      <c r="R123" s="170"/>
    </row>
    <row r="124" spans="1:18" ht="55.2" x14ac:dyDescent="0.25">
      <c r="A124" s="166" t="s">
        <v>630</v>
      </c>
      <c r="B124" s="166" t="s">
        <v>631</v>
      </c>
      <c r="C124" s="166"/>
      <c r="D124" s="166" t="s">
        <v>632</v>
      </c>
      <c r="E124" s="166" t="s">
        <v>633</v>
      </c>
      <c r="F124" s="166"/>
      <c r="G124" s="170" t="s">
        <v>29</v>
      </c>
      <c r="H124" s="170"/>
      <c r="I124" s="170"/>
      <c r="J124" s="170"/>
      <c r="K124" s="170" t="s">
        <v>29</v>
      </c>
      <c r="L124" s="170"/>
      <c r="M124" s="170"/>
      <c r="N124" s="170"/>
      <c r="O124" s="170"/>
      <c r="P124" s="170"/>
      <c r="Q124" s="170"/>
      <c r="R124" s="170"/>
    </row>
    <row r="125" spans="1:18" ht="55.2" x14ac:dyDescent="0.25">
      <c r="A125" s="166" t="s">
        <v>634</v>
      </c>
      <c r="B125" s="166" t="s">
        <v>635</v>
      </c>
      <c r="C125" s="166"/>
      <c r="D125" s="166" t="s">
        <v>636</v>
      </c>
      <c r="E125" s="166" t="s">
        <v>637</v>
      </c>
      <c r="F125" s="166"/>
      <c r="G125" s="170" t="s">
        <v>29</v>
      </c>
      <c r="H125" s="170"/>
      <c r="I125" s="170"/>
      <c r="J125" s="170"/>
      <c r="K125" s="170" t="s">
        <v>29</v>
      </c>
      <c r="L125" s="170"/>
      <c r="M125" s="170"/>
      <c r="N125" s="170"/>
      <c r="O125" s="170"/>
      <c r="P125" s="170"/>
      <c r="Q125" s="170"/>
      <c r="R125" s="170"/>
    </row>
    <row r="126" spans="1:18" ht="55.2" x14ac:dyDescent="0.25">
      <c r="A126" s="166" t="s">
        <v>638</v>
      </c>
      <c r="B126" s="166" t="s">
        <v>639</v>
      </c>
      <c r="C126" s="166"/>
      <c r="D126" s="166" t="s">
        <v>640</v>
      </c>
      <c r="E126" s="166" t="s">
        <v>641</v>
      </c>
      <c r="F126" s="166"/>
      <c r="G126" s="170" t="s">
        <v>29</v>
      </c>
      <c r="H126" s="170"/>
      <c r="I126" s="170"/>
      <c r="J126" s="170"/>
      <c r="K126" s="170" t="s">
        <v>29</v>
      </c>
      <c r="L126" s="170"/>
      <c r="M126" s="170"/>
      <c r="N126" s="170"/>
      <c r="O126" s="170"/>
      <c r="P126" s="170"/>
      <c r="Q126" s="170"/>
      <c r="R126" s="170"/>
    </row>
    <row r="127" spans="1:18" ht="27.6" x14ac:dyDescent="0.25">
      <c r="A127" s="166" t="s">
        <v>642</v>
      </c>
      <c r="B127" s="166" t="s">
        <v>643</v>
      </c>
      <c r="C127" s="166" t="s">
        <v>644</v>
      </c>
      <c r="D127" s="166" t="s">
        <v>645</v>
      </c>
      <c r="E127" s="166" t="s">
        <v>646</v>
      </c>
      <c r="F127" s="166"/>
      <c r="G127" s="170" t="s">
        <v>29</v>
      </c>
      <c r="H127" s="170"/>
      <c r="I127" s="170"/>
      <c r="J127" s="170"/>
      <c r="K127" s="170" t="s">
        <v>29</v>
      </c>
      <c r="L127" s="170"/>
      <c r="M127" s="170"/>
      <c r="N127" s="170"/>
      <c r="O127" s="170"/>
      <c r="P127" s="170"/>
      <c r="Q127" s="170"/>
      <c r="R127" s="170"/>
    </row>
    <row r="128" spans="1:18" ht="27.6" x14ac:dyDescent="0.25">
      <c r="A128" s="166" t="s">
        <v>647</v>
      </c>
      <c r="B128" s="166" t="s">
        <v>648</v>
      </c>
      <c r="C128" s="166" t="s">
        <v>649</v>
      </c>
      <c r="D128" s="166" t="s">
        <v>650</v>
      </c>
      <c r="E128" s="166" t="s">
        <v>651</v>
      </c>
      <c r="F128" s="166"/>
      <c r="G128" s="170" t="s">
        <v>29</v>
      </c>
      <c r="H128" s="170"/>
      <c r="I128" s="170"/>
      <c r="J128" s="170"/>
      <c r="K128" s="170" t="s">
        <v>29</v>
      </c>
      <c r="L128" s="170"/>
      <c r="M128" s="170"/>
      <c r="N128" s="170"/>
      <c r="O128" s="170"/>
      <c r="P128" s="170"/>
      <c r="Q128" s="170"/>
      <c r="R128" s="170"/>
    </row>
    <row r="129" spans="1:18" ht="41.4" x14ac:dyDescent="0.25">
      <c r="A129" s="166" t="s">
        <v>652</v>
      </c>
      <c r="B129" s="166" t="s">
        <v>653</v>
      </c>
      <c r="C129" s="166" t="s">
        <v>654</v>
      </c>
      <c r="D129" s="166" t="s">
        <v>655</v>
      </c>
      <c r="E129" s="166" t="s">
        <v>656</v>
      </c>
      <c r="F129" s="166"/>
      <c r="G129" s="170" t="s">
        <v>29</v>
      </c>
      <c r="H129" s="170"/>
      <c r="I129" s="170"/>
      <c r="J129" s="170"/>
      <c r="K129" s="170" t="s">
        <v>29</v>
      </c>
      <c r="L129" s="170"/>
      <c r="M129" s="170"/>
      <c r="N129" s="170"/>
      <c r="O129" s="170"/>
      <c r="P129" s="170"/>
      <c r="Q129" s="170"/>
      <c r="R129" s="170"/>
    </row>
    <row r="130" spans="1:18" ht="13.2" x14ac:dyDescent="0.25">
      <c r="A130" s="177"/>
      <c r="B130" s="178" t="s">
        <v>657</v>
      </c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</row>
    <row r="131" spans="1:18" ht="13.2" x14ac:dyDescent="0.25">
      <c r="A131" s="174"/>
      <c r="B131" s="172" t="s">
        <v>92</v>
      </c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</row>
    <row r="132" spans="1:18" ht="151.80000000000001" x14ac:dyDescent="0.25">
      <c r="A132" s="166" t="s">
        <v>658</v>
      </c>
      <c r="B132" s="166" t="s">
        <v>659</v>
      </c>
      <c r="C132" s="166" t="s">
        <v>660</v>
      </c>
      <c r="D132" s="166" t="s">
        <v>661</v>
      </c>
      <c r="E132" s="166" t="s">
        <v>662</v>
      </c>
      <c r="F132" s="166"/>
      <c r="G132" s="170" t="s">
        <v>29</v>
      </c>
      <c r="H132" s="170"/>
      <c r="I132" s="170"/>
      <c r="J132" s="170"/>
      <c r="K132" s="170" t="s">
        <v>29</v>
      </c>
      <c r="L132" s="170"/>
      <c r="M132" s="170"/>
      <c r="N132" s="170"/>
      <c r="O132" s="170"/>
      <c r="P132" s="170"/>
      <c r="Q132" s="170"/>
      <c r="R132" s="170"/>
    </row>
    <row r="133" spans="1:18" ht="27.6" x14ac:dyDescent="0.25">
      <c r="A133" s="166" t="s">
        <v>663</v>
      </c>
      <c r="B133" s="166" t="s">
        <v>664</v>
      </c>
      <c r="C133" s="166" t="s">
        <v>665</v>
      </c>
      <c r="D133" s="166" t="s">
        <v>666</v>
      </c>
      <c r="E133" s="166" t="s">
        <v>667</v>
      </c>
      <c r="F133" s="166"/>
      <c r="G133" s="170" t="s">
        <v>29</v>
      </c>
      <c r="H133" s="170"/>
      <c r="I133" s="170"/>
      <c r="J133" s="170"/>
      <c r="K133" s="170" t="s">
        <v>29</v>
      </c>
      <c r="L133" s="170"/>
      <c r="M133" s="170"/>
      <c r="N133" s="170"/>
      <c r="O133" s="170"/>
      <c r="P133" s="170"/>
      <c r="Q133" s="170"/>
      <c r="R133" s="170"/>
    </row>
    <row r="134" spans="1:18" ht="110.4" x14ac:dyDescent="0.25">
      <c r="A134" s="166" t="s">
        <v>668</v>
      </c>
      <c r="B134" s="166" t="s">
        <v>669</v>
      </c>
      <c r="C134" s="166" t="s">
        <v>670</v>
      </c>
      <c r="D134" s="166" t="s">
        <v>671</v>
      </c>
      <c r="E134" s="166" t="s">
        <v>672</v>
      </c>
      <c r="F134" s="166"/>
      <c r="G134" s="170" t="s">
        <v>29</v>
      </c>
      <c r="H134" s="170"/>
      <c r="I134" s="170"/>
      <c r="J134" s="170"/>
      <c r="K134" s="170" t="s">
        <v>29</v>
      </c>
      <c r="L134" s="170"/>
      <c r="M134" s="170"/>
      <c r="N134" s="170"/>
      <c r="O134" s="170"/>
      <c r="P134" s="170"/>
      <c r="Q134" s="170"/>
      <c r="R134" s="170"/>
    </row>
    <row r="135" spans="1:18" ht="27.6" x14ac:dyDescent="0.25">
      <c r="A135" s="166" t="s">
        <v>673</v>
      </c>
      <c r="B135" s="166" t="s">
        <v>674</v>
      </c>
      <c r="C135" s="166" t="s">
        <v>675</v>
      </c>
      <c r="D135" s="166" t="s">
        <v>676</v>
      </c>
      <c r="E135" s="166" t="s">
        <v>677</v>
      </c>
      <c r="F135" s="166"/>
      <c r="G135" s="170" t="s">
        <v>29</v>
      </c>
      <c r="H135" s="170"/>
      <c r="I135" s="170"/>
      <c r="J135" s="170"/>
      <c r="K135" s="170" t="s">
        <v>29</v>
      </c>
      <c r="L135" s="170"/>
      <c r="M135" s="170"/>
      <c r="N135" s="170"/>
      <c r="O135" s="170"/>
      <c r="P135" s="170"/>
      <c r="Q135" s="170"/>
      <c r="R135" s="170"/>
    </row>
    <row r="136" spans="1:18" ht="41.4" x14ac:dyDescent="0.25">
      <c r="A136" s="166" t="s">
        <v>678</v>
      </c>
      <c r="B136" s="166" t="s">
        <v>679</v>
      </c>
      <c r="C136" s="166" t="s">
        <v>675</v>
      </c>
      <c r="D136" s="166" t="s">
        <v>680</v>
      </c>
      <c r="E136" s="166" t="s">
        <v>681</v>
      </c>
      <c r="F136" s="166"/>
      <c r="G136" s="170" t="s">
        <v>29</v>
      </c>
      <c r="H136" s="170"/>
      <c r="I136" s="170"/>
      <c r="J136" s="170"/>
      <c r="K136" s="170" t="s">
        <v>29</v>
      </c>
      <c r="L136" s="170"/>
      <c r="M136" s="170"/>
      <c r="N136" s="170"/>
      <c r="O136" s="170"/>
      <c r="P136" s="170"/>
      <c r="Q136" s="170"/>
      <c r="R136" s="170"/>
    </row>
    <row r="137" spans="1:18" ht="27.6" x14ac:dyDescent="0.25">
      <c r="A137" s="166" t="s">
        <v>682</v>
      </c>
      <c r="B137" s="166" t="s">
        <v>683</v>
      </c>
      <c r="C137" s="166" t="s">
        <v>675</v>
      </c>
      <c r="D137" s="166" t="s">
        <v>684</v>
      </c>
      <c r="E137" s="166" t="s">
        <v>685</v>
      </c>
      <c r="F137" s="166" t="s">
        <v>168</v>
      </c>
      <c r="G137" s="170" t="s">
        <v>29</v>
      </c>
      <c r="H137" s="170"/>
      <c r="I137" s="170"/>
      <c r="J137" s="170"/>
      <c r="K137" s="170" t="s">
        <v>29</v>
      </c>
      <c r="L137" s="170"/>
      <c r="M137" s="170"/>
      <c r="N137" s="170"/>
      <c r="O137" s="170"/>
      <c r="P137" s="170"/>
      <c r="Q137" s="170"/>
      <c r="R137" s="170"/>
    </row>
    <row r="138" spans="1:18" ht="27.6" x14ac:dyDescent="0.25">
      <c r="A138" s="166" t="s">
        <v>686</v>
      </c>
      <c r="B138" s="166" t="s">
        <v>687</v>
      </c>
      <c r="C138" s="166" t="s">
        <v>688</v>
      </c>
      <c r="D138" s="166" t="s">
        <v>689</v>
      </c>
      <c r="E138" s="166" t="s">
        <v>690</v>
      </c>
      <c r="F138" s="166"/>
      <c r="G138" s="170" t="s">
        <v>29</v>
      </c>
      <c r="H138" s="170"/>
      <c r="I138" s="170"/>
      <c r="J138" s="170"/>
      <c r="K138" s="170" t="s">
        <v>29</v>
      </c>
      <c r="L138" s="170"/>
      <c r="M138" s="170"/>
      <c r="N138" s="170"/>
      <c r="O138" s="170"/>
      <c r="P138" s="170"/>
      <c r="Q138" s="170"/>
      <c r="R138" s="170"/>
    </row>
    <row r="139" spans="1:18" ht="41.4" x14ac:dyDescent="0.25">
      <c r="A139" s="166" t="s">
        <v>691</v>
      </c>
      <c r="B139" s="166" t="s">
        <v>692</v>
      </c>
      <c r="C139" s="166" t="s">
        <v>693</v>
      </c>
      <c r="D139" s="166" t="s">
        <v>694</v>
      </c>
      <c r="E139" s="166" t="s">
        <v>695</v>
      </c>
      <c r="F139" s="166"/>
      <c r="G139" s="170" t="s">
        <v>29</v>
      </c>
      <c r="H139" s="170"/>
      <c r="I139" s="170"/>
      <c r="J139" s="170"/>
      <c r="K139" s="170" t="s">
        <v>29</v>
      </c>
      <c r="L139" s="170"/>
      <c r="M139" s="170"/>
      <c r="N139" s="170"/>
      <c r="O139" s="170"/>
      <c r="P139" s="170"/>
      <c r="Q139" s="170"/>
      <c r="R139" s="170"/>
    </row>
    <row r="140" spans="1:18" ht="27.6" x14ac:dyDescent="0.25">
      <c r="A140" s="166" t="s">
        <v>696</v>
      </c>
      <c r="B140" s="166" t="s">
        <v>697</v>
      </c>
      <c r="C140" s="166" t="s">
        <v>698</v>
      </c>
      <c r="D140" s="166" t="s">
        <v>699</v>
      </c>
      <c r="E140" s="166" t="s">
        <v>700</v>
      </c>
      <c r="F140" s="166"/>
      <c r="G140" s="170" t="s">
        <v>29</v>
      </c>
      <c r="H140" s="170"/>
      <c r="I140" s="170"/>
      <c r="J140" s="170"/>
      <c r="K140" s="170" t="s">
        <v>29</v>
      </c>
      <c r="L140" s="170"/>
      <c r="M140" s="170"/>
      <c r="N140" s="170"/>
      <c r="O140" s="170"/>
      <c r="P140" s="170"/>
      <c r="Q140" s="170"/>
      <c r="R140" s="170"/>
    </row>
    <row r="141" spans="1:18" ht="27.6" x14ac:dyDescent="0.25">
      <c r="A141" s="166" t="s">
        <v>701</v>
      </c>
      <c r="B141" s="166" t="s">
        <v>702</v>
      </c>
      <c r="C141" s="166" t="s">
        <v>703</v>
      </c>
      <c r="D141" s="166" t="s">
        <v>704</v>
      </c>
      <c r="E141" s="166" t="s">
        <v>705</v>
      </c>
      <c r="F141" s="166"/>
      <c r="G141" s="170" t="s">
        <v>29</v>
      </c>
      <c r="H141" s="170"/>
      <c r="I141" s="170"/>
      <c r="J141" s="170"/>
      <c r="K141" s="170" t="s">
        <v>29</v>
      </c>
      <c r="L141" s="170"/>
      <c r="M141" s="170"/>
      <c r="N141" s="170"/>
      <c r="O141" s="170"/>
      <c r="P141" s="170"/>
      <c r="Q141" s="170"/>
      <c r="R141" s="170"/>
    </row>
    <row r="142" spans="1:18" ht="27.6" x14ac:dyDescent="0.25">
      <c r="A142" s="166" t="s">
        <v>706</v>
      </c>
      <c r="B142" s="166" t="s">
        <v>707</v>
      </c>
      <c r="C142" s="166" t="s">
        <v>708</v>
      </c>
      <c r="D142" s="166" t="s">
        <v>709</v>
      </c>
      <c r="E142" s="166" t="s">
        <v>710</v>
      </c>
      <c r="F142" s="166"/>
      <c r="G142" s="170" t="s">
        <v>29</v>
      </c>
      <c r="H142" s="170"/>
      <c r="I142" s="170"/>
      <c r="J142" s="170"/>
      <c r="K142" s="170" t="s">
        <v>29</v>
      </c>
      <c r="L142" s="170"/>
      <c r="M142" s="170"/>
      <c r="N142" s="170"/>
      <c r="O142" s="170"/>
      <c r="P142" s="170"/>
      <c r="Q142" s="170"/>
      <c r="R142" s="170"/>
    </row>
    <row r="143" spans="1:18" ht="27.6" x14ac:dyDescent="0.25">
      <c r="A143" s="166" t="s">
        <v>711</v>
      </c>
      <c r="B143" s="166" t="s">
        <v>712</v>
      </c>
      <c r="C143" s="166" t="s">
        <v>713</v>
      </c>
      <c r="D143" s="166" t="s">
        <v>714</v>
      </c>
      <c r="E143" s="166" t="s">
        <v>715</v>
      </c>
      <c r="F143" s="166"/>
      <c r="G143" s="170" t="s">
        <v>29</v>
      </c>
      <c r="H143" s="170"/>
      <c r="I143" s="170"/>
      <c r="J143" s="170"/>
      <c r="K143" s="170" t="s">
        <v>29</v>
      </c>
      <c r="L143" s="170"/>
      <c r="M143" s="170"/>
      <c r="N143" s="170"/>
      <c r="O143" s="170"/>
      <c r="P143" s="170"/>
      <c r="Q143" s="170"/>
      <c r="R143" s="170"/>
    </row>
    <row r="144" spans="1:18" ht="13.2" x14ac:dyDescent="0.25">
      <c r="A144" s="174"/>
      <c r="B144" s="172" t="s">
        <v>173</v>
      </c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</row>
    <row r="145" spans="1:18" ht="27.6" x14ac:dyDescent="0.25">
      <c r="A145" s="166" t="s">
        <v>716</v>
      </c>
      <c r="B145" s="166" t="s">
        <v>717</v>
      </c>
      <c r="C145" s="166" t="s">
        <v>718</v>
      </c>
      <c r="D145" s="166" t="s">
        <v>719</v>
      </c>
      <c r="E145" s="166" t="s">
        <v>720</v>
      </c>
      <c r="F145" s="166"/>
      <c r="G145" s="170" t="s">
        <v>29</v>
      </c>
      <c r="H145" s="170"/>
      <c r="I145" s="170"/>
      <c r="J145" s="170"/>
      <c r="K145" s="170" t="s">
        <v>29</v>
      </c>
      <c r="L145" s="170"/>
      <c r="M145" s="170"/>
      <c r="N145" s="170"/>
      <c r="O145" s="170"/>
      <c r="P145" s="170"/>
      <c r="Q145" s="170"/>
      <c r="R145" s="170"/>
    </row>
    <row r="146" spans="1:18" ht="27.6" x14ac:dyDescent="0.25">
      <c r="A146" s="166" t="s">
        <v>721</v>
      </c>
      <c r="B146" s="166" t="s">
        <v>722</v>
      </c>
      <c r="C146" s="166" t="s">
        <v>723</v>
      </c>
      <c r="D146" s="166" t="s">
        <v>724</v>
      </c>
      <c r="E146" s="166" t="s">
        <v>725</v>
      </c>
      <c r="F146" s="166" t="s">
        <v>8</v>
      </c>
      <c r="G146" s="170" t="s">
        <v>29</v>
      </c>
      <c r="H146" s="170"/>
      <c r="I146" s="170"/>
      <c r="J146" s="170"/>
      <c r="K146" s="170" t="s">
        <v>29</v>
      </c>
      <c r="L146" s="170"/>
      <c r="M146" s="170"/>
      <c r="N146" s="170"/>
      <c r="O146" s="170"/>
      <c r="P146" s="170"/>
      <c r="Q146" s="170"/>
      <c r="R146" s="170"/>
    </row>
    <row r="147" spans="1:18" ht="27.6" x14ac:dyDescent="0.25">
      <c r="A147" s="166" t="s">
        <v>726</v>
      </c>
      <c r="B147" s="166" t="s">
        <v>727</v>
      </c>
      <c r="C147" s="166" t="s">
        <v>728</v>
      </c>
      <c r="D147" s="166" t="s">
        <v>729</v>
      </c>
      <c r="E147" s="166" t="s">
        <v>730</v>
      </c>
      <c r="F147" s="166" t="s">
        <v>731</v>
      </c>
      <c r="G147" s="170" t="s">
        <v>29</v>
      </c>
      <c r="H147" s="170"/>
      <c r="I147" s="170"/>
      <c r="J147" s="170"/>
      <c r="K147" s="170" t="s">
        <v>29</v>
      </c>
      <c r="L147" s="170"/>
      <c r="M147" s="170"/>
      <c r="N147" s="170"/>
      <c r="O147" s="170"/>
      <c r="P147" s="170"/>
      <c r="Q147" s="170"/>
      <c r="R147" s="170"/>
    </row>
    <row r="148" spans="1:18" ht="27.6" x14ac:dyDescent="0.25">
      <c r="A148" s="166" t="s">
        <v>732</v>
      </c>
      <c r="B148" s="166" t="s">
        <v>733</v>
      </c>
      <c r="C148" s="166" t="s">
        <v>734</v>
      </c>
      <c r="D148" s="166" t="s">
        <v>729</v>
      </c>
      <c r="E148" s="166" t="s">
        <v>735</v>
      </c>
      <c r="F148" s="166" t="s">
        <v>731</v>
      </c>
      <c r="G148" s="170" t="s">
        <v>29</v>
      </c>
      <c r="H148" s="170"/>
      <c r="I148" s="170"/>
      <c r="J148" s="170"/>
      <c r="K148" s="170" t="s">
        <v>29</v>
      </c>
      <c r="L148" s="170"/>
      <c r="M148" s="170"/>
      <c r="N148" s="170"/>
      <c r="O148" s="170"/>
      <c r="P148" s="170"/>
      <c r="Q148" s="170"/>
      <c r="R148" s="170"/>
    </row>
    <row r="149" spans="1:18" ht="41.4" x14ac:dyDescent="0.25">
      <c r="A149" s="166" t="s">
        <v>736</v>
      </c>
      <c r="B149" s="166" t="s">
        <v>737</v>
      </c>
      <c r="C149" s="166" t="s">
        <v>738</v>
      </c>
      <c r="D149" s="166" t="s">
        <v>739</v>
      </c>
      <c r="E149" s="166" t="s">
        <v>740</v>
      </c>
      <c r="F149" s="166"/>
      <c r="G149" s="170" t="s">
        <v>29</v>
      </c>
      <c r="H149" s="170"/>
      <c r="I149" s="170"/>
      <c r="J149" s="170"/>
      <c r="K149" s="170" t="s">
        <v>29</v>
      </c>
      <c r="L149" s="170"/>
      <c r="M149" s="170"/>
      <c r="N149" s="170"/>
      <c r="O149" s="170"/>
      <c r="P149" s="170"/>
      <c r="Q149" s="170"/>
      <c r="R149" s="170"/>
    </row>
    <row r="150" spans="1:18" ht="27.6" x14ac:dyDescent="0.25">
      <c r="A150" s="166" t="s">
        <v>741</v>
      </c>
      <c r="B150" s="166" t="s">
        <v>742</v>
      </c>
      <c r="C150" s="166" t="s">
        <v>738</v>
      </c>
      <c r="D150" s="166" t="s">
        <v>743</v>
      </c>
      <c r="E150" s="166" t="s">
        <v>744</v>
      </c>
      <c r="F150" s="166"/>
      <c r="G150" s="170" t="s">
        <v>29</v>
      </c>
      <c r="H150" s="170"/>
      <c r="I150" s="170"/>
      <c r="J150" s="170"/>
      <c r="K150" s="170" t="s">
        <v>29</v>
      </c>
      <c r="L150" s="170"/>
      <c r="M150" s="170"/>
      <c r="N150" s="170"/>
      <c r="O150" s="170"/>
      <c r="P150" s="170"/>
      <c r="Q150" s="170"/>
      <c r="R150" s="170"/>
    </row>
    <row r="151" spans="1:18" ht="41.4" x14ac:dyDescent="0.25">
      <c r="A151" s="166" t="s">
        <v>745</v>
      </c>
      <c r="B151" s="166" t="s">
        <v>746</v>
      </c>
      <c r="C151" s="166" t="s">
        <v>738</v>
      </c>
      <c r="D151" s="166" t="s">
        <v>747</v>
      </c>
      <c r="E151" s="166" t="s">
        <v>748</v>
      </c>
      <c r="F151" s="166"/>
      <c r="G151" s="170" t="s">
        <v>29</v>
      </c>
      <c r="H151" s="170"/>
      <c r="I151" s="170"/>
      <c r="J151" s="170"/>
      <c r="K151" s="170" t="s">
        <v>29</v>
      </c>
      <c r="L151" s="170"/>
      <c r="M151" s="170"/>
      <c r="N151" s="170"/>
      <c r="O151" s="170"/>
      <c r="P151" s="170"/>
      <c r="Q151" s="170"/>
      <c r="R151" s="170"/>
    </row>
    <row r="152" spans="1:18" ht="41.4" x14ac:dyDescent="0.25">
      <c r="A152" s="166" t="s">
        <v>749</v>
      </c>
      <c r="B152" s="166" t="s">
        <v>750</v>
      </c>
      <c r="C152" s="166" t="s">
        <v>751</v>
      </c>
      <c r="D152" s="166" t="s">
        <v>752</v>
      </c>
      <c r="E152" s="166" t="s">
        <v>753</v>
      </c>
      <c r="F152" s="166" t="s">
        <v>754</v>
      </c>
      <c r="G152" s="170" t="s">
        <v>29</v>
      </c>
      <c r="H152" s="170"/>
      <c r="I152" s="170"/>
      <c r="J152" s="170"/>
      <c r="K152" s="170" t="s">
        <v>29</v>
      </c>
      <c r="L152" s="170"/>
      <c r="M152" s="170"/>
      <c r="N152" s="170"/>
      <c r="O152" s="170"/>
      <c r="P152" s="170"/>
      <c r="Q152" s="170"/>
      <c r="R152" s="170"/>
    </row>
    <row r="153" spans="1:18" ht="27.6" x14ac:dyDescent="0.25">
      <c r="A153" s="166" t="s">
        <v>755</v>
      </c>
      <c r="B153" s="166" t="s">
        <v>756</v>
      </c>
      <c r="C153" s="166" t="s">
        <v>757</v>
      </c>
      <c r="D153" s="166" t="s">
        <v>758</v>
      </c>
      <c r="E153" s="166" t="s">
        <v>759</v>
      </c>
      <c r="F153" s="166"/>
      <c r="G153" s="170" t="s">
        <v>29</v>
      </c>
      <c r="H153" s="170"/>
      <c r="I153" s="170"/>
      <c r="J153" s="170"/>
      <c r="K153" s="170" t="s">
        <v>29</v>
      </c>
      <c r="L153" s="170"/>
      <c r="M153" s="170"/>
      <c r="N153" s="170"/>
      <c r="O153" s="170"/>
      <c r="P153" s="170"/>
      <c r="Q153" s="170"/>
      <c r="R153" s="170"/>
    </row>
    <row r="154" spans="1:18" ht="41.4" x14ac:dyDescent="0.25">
      <c r="A154" s="166" t="s">
        <v>760</v>
      </c>
      <c r="B154" s="166" t="s">
        <v>761</v>
      </c>
      <c r="C154" s="166" t="s">
        <v>757</v>
      </c>
      <c r="D154" s="166" t="s">
        <v>762</v>
      </c>
      <c r="E154" s="166" t="s">
        <v>763</v>
      </c>
      <c r="F154" s="166"/>
      <c r="G154" s="170" t="s">
        <v>29</v>
      </c>
      <c r="H154" s="170"/>
      <c r="I154" s="170"/>
      <c r="J154" s="170"/>
      <c r="K154" s="170" t="s">
        <v>29</v>
      </c>
      <c r="L154" s="170"/>
      <c r="M154" s="170"/>
      <c r="N154" s="170"/>
      <c r="O154" s="170"/>
      <c r="P154" s="170"/>
      <c r="Q154" s="170"/>
      <c r="R154" s="170"/>
    </row>
    <row r="155" spans="1:18" ht="27.6" x14ac:dyDescent="0.25">
      <c r="A155" s="166" t="s">
        <v>764</v>
      </c>
      <c r="B155" s="166" t="s">
        <v>765</v>
      </c>
      <c r="C155" s="166" t="s">
        <v>757</v>
      </c>
      <c r="D155" s="166" t="s">
        <v>766</v>
      </c>
      <c r="E155" s="166" t="s">
        <v>767</v>
      </c>
      <c r="F155" s="166" t="s">
        <v>552</v>
      </c>
      <c r="G155" s="170" t="s">
        <v>29</v>
      </c>
      <c r="H155" s="170"/>
      <c r="I155" s="170"/>
      <c r="J155" s="170"/>
      <c r="K155" s="170" t="s">
        <v>29</v>
      </c>
      <c r="L155" s="170"/>
      <c r="M155" s="170"/>
      <c r="N155" s="170"/>
      <c r="O155" s="170"/>
      <c r="P155" s="170"/>
      <c r="Q155" s="170"/>
      <c r="R155" s="170"/>
    </row>
    <row r="156" spans="1:18" ht="69" x14ac:dyDescent="0.25">
      <c r="A156" s="166" t="s">
        <v>768</v>
      </c>
      <c r="B156" s="166" t="s">
        <v>769</v>
      </c>
      <c r="C156" s="166" t="s">
        <v>757</v>
      </c>
      <c r="D156" s="166" t="s">
        <v>770</v>
      </c>
      <c r="E156" s="166" t="s">
        <v>771</v>
      </c>
      <c r="F156" s="166"/>
      <c r="G156" s="170" t="s">
        <v>29</v>
      </c>
      <c r="H156" s="170"/>
      <c r="I156" s="170"/>
      <c r="J156" s="170"/>
      <c r="K156" s="170" t="s">
        <v>29</v>
      </c>
      <c r="L156" s="170"/>
      <c r="M156" s="170"/>
      <c r="N156" s="170"/>
      <c r="O156" s="170"/>
      <c r="P156" s="170"/>
      <c r="Q156" s="170"/>
      <c r="R156" s="170"/>
    </row>
    <row r="157" spans="1:18" ht="27.6" x14ac:dyDescent="0.25">
      <c r="A157" s="166" t="s">
        <v>772</v>
      </c>
      <c r="B157" s="166" t="s">
        <v>773</v>
      </c>
      <c r="C157" s="166" t="s">
        <v>774</v>
      </c>
      <c r="D157" s="166" t="s">
        <v>775</v>
      </c>
      <c r="E157" s="166" t="s">
        <v>776</v>
      </c>
      <c r="F157" s="166"/>
      <c r="G157" s="170" t="s">
        <v>29</v>
      </c>
      <c r="H157" s="170"/>
      <c r="I157" s="170"/>
      <c r="J157" s="170"/>
      <c r="K157" s="170" t="s">
        <v>29</v>
      </c>
      <c r="L157" s="170"/>
      <c r="M157" s="170"/>
      <c r="N157" s="170"/>
      <c r="O157" s="170"/>
      <c r="P157" s="170"/>
      <c r="Q157" s="170"/>
      <c r="R157" s="170"/>
    </row>
    <row r="158" spans="1:18" ht="27.6" x14ac:dyDescent="0.25">
      <c r="A158" s="166" t="s">
        <v>777</v>
      </c>
      <c r="B158" s="166" t="s">
        <v>778</v>
      </c>
      <c r="C158" s="166" t="s">
        <v>779</v>
      </c>
      <c r="D158" s="166" t="s">
        <v>780</v>
      </c>
      <c r="E158" s="166" t="s">
        <v>781</v>
      </c>
      <c r="F158" s="166"/>
      <c r="G158" s="170" t="s">
        <v>29</v>
      </c>
      <c r="H158" s="170"/>
      <c r="I158" s="170"/>
      <c r="J158" s="170"/>
      <c r="K158" s="170" t="s">
        <v>29</v>
      </c>
      <c r="L158" s="170"/>
      <c r="M158" s="170"/>
      <c r="N158" s="170"/>
      <c r="O158" s="170"/>
      <c r="P158" s="170"/>
      <c r="Q158" s="170"/>
      <c r="R158" s="170"/>
    </row>
    <row r="159" spans="1:18" ht="27.6" x14ac:dyDescent="0.25">
      <c r="A159" s="166" t="s">
        <v>782</v>
      </c>
      <c r="B159" s="166" t="s">
        <v>783</v>
      </c>
      <c r="C159" s="166" t="s">
        <v>784</v>
      </c>
      <c r="D159" s="166" t="s">
        <v>780</v>
      </c>
      <c r="E159" s="166" t="s">
        <v>785</v>
      </c>
      <c r="F159" s="166"/>
      <c r="G159" s="170" t="s">
        <v>29</v>
      </c>
      <c r="H159" s="170"/>
      <c r="I159" s="170"/>
      <c r="J159" s="170"/>
      <c r="K159" s="170" t="s">
        <v>29</v>
      </c>
      <c r="L159" s="170"/>
      <c r="M159" s="170"/>
      <c r="N159" s="170"/>
      <c r="O159" s="170"/>
      <c r="P159" s="170"/>
      <c r="Q159" s="170"/>
      <c r="R159" s="170"/>
    </row>
    <row r="160" spans="1:18" ht="27.6" x14ac:dyDescent="0.25">
      <c r="A160" s="166" t="s">
        <v>786</v>
      </c>
      <c r="B160" s="166" t="s">
        <v>787</v>
      </c>
      <c r="C160" s="166" t="s">
        <v>788</v>
      </c>
      <c r="D160" s="166" t="s">
        <v>789</v>
      </c>
      <c r="E160" s="166" t="s">
        <v>520</v>
      </c>
      <c r="F160" s="166"/>
      <c r="G160" s="170" t="s">
        <v>29</v>
      </c>
      <c r="H160" s="170"/>
      <c r="I160" s="170"/>
      <c r="J160" s="170"/>
      <c r="K160" s="170" t="s">
        <v>29</v>
      </c>
      <c r="L160" s="170"/>
      <c r="M160" s="170"/>
      <c r="N160" s="170"/>
      <c r="O160" s="170"/>
      <c r="P160" s="170"/>
      <c r="Q160" s="170"/>
      <c r="R160" s="170"/>
    </row>
    <row r="161" spans="1:18" ht="27.6" x14ac:dyDescent="0.25">
      <c r="A161" s="166" t="s">
        <v>790</v>
      </c>
      <c r="B161" s="166" t="s">
        <v>791</v>
      </c>
      <c r="C161" s="166" t="s">
        <v>792</v>
      </c>
      <c r="D161" s="166" t="s">
        <v>793</v>
      </c>
      <c r="E161" s="166" t="s">
        <v>794</v>
      </c>
      <c r="F161" s="166"/>
      <c r="G161" s="170" t="s">
        <v>29</v>
      </c>
      <c r="H161" s="170"/>
      <c r="I161" s="170"/>
      <c r="J161" s="170"/>
      <c r="K161" s="170" t="s">
        <v>29</v>
      </c>
      <c r="L161" s="170"/>
      <c r="M161" s="170"/>
      <c r="N161" s="170"/>
      <c r="O161" s="170"/>
      <c r="P161" s="170"/>
      <c r="Q161" s="170"/>
      <c r="R161" s="170"/>
    </row>
    <row r="162" spans="1:18" ht="69" x14ac:dyDescent="0.25">
      <c r="A162" s="166" t="s">
        <v>795</v>
      </c>
      <c r="B162" s="166" t="s">
        <v>796</v>
      </c>
      <c r="C162" s="166" t="s">
        <v>797</v>
      </c>
      <c r="D162" s="166" t="s">
        <v>798</v>
      </c>
      <c r="E162" s="166" t="s">
        <v>799</v>
      </c>
      <c r="F162" s="166"/>
      <c r="G162" s="170" t="s">
        <v>29</v>
      </c>
      <c r="H162" s="170"/>
      <c r="I162" s="170"/>
      <c r="J162" s="170"/>
      <c r="K162" s="170" t="s">
        <v>29</v>
      </c>
      <c r="L162" s="170"/>
      <c r="M162" s="170"/>
      <c r="N162" s="170"/>
      <c r="O162" s="170"/>
      <c r="P162" s="170"/>
      <c r="Q162" s="170"/>
      <c r="R162" s="170"/>
    </row>
    <row r="163" spans="1:18" ht="27.6" x14ac:dyDescent="0.25">
      <c r="A163" s="166" t="s">
        <v>800</v>
      </c>
      <c r="B163" s="166" t="s">
        <v>801</v>
      </c>
      <c r="C163" s="166" t="s">
        <v>802</v>
      </c>
      <c r="D163" s="166" t="s">
        <v>803</v>
      </c>
      <c r="E163" s="166" t="s">
        <v>804</v>
      </c>
      <c r="F163" s="166"/>
      <c r="G163" s="170" t="s">
        <v>29</v>
      </c>
      <c r="H163" s="170"/>
      <c r="I163" s="170"/>
      <c r="J163" s="170"/>
      <c r="K163" s="170" t="s">
        <v>29</v>
      </c>
      <c r="L163" s="170"/>
      <c r="M163" s="170"/>
      <c r="N163" s="170"/>
      <c r="O163" s="170"/>
      <c r="P163" s="170"/>
      <c r="Q163" s="170"/>
      <c r="R163" s="170"/>
    </row>
    <row r="164" spans="1:18" ht="13.2" x14ac:dyDescent="0.25">
      <c r="A164" s="174"/>
      <c r="B164" s="172" t="s">
        <v>590</v>
      </c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</row>
    <row r="165" spans="1:18" ht="13.2" x14ac:dyDescent="0.25">
      <c r="A165" s="175"/>
      <c r="B165" s="176" t="s">
        <v>591</v>
      </c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</row>
    <row r="166" spans="1:18" ht="13.8" x14ac:dyDescent="0.25">
      <c r="A166" s="166" t="s">
        <v>805</v>
      </c>
      <c r="B166" s="166" t="s">
        <v>593</v>
      </c>
      <c r="C166" s="166"/>
      <c r="D166" s="166" t="s">
        <v>594</v>
      </c>
      <c r="E166" s="166" t="s">
        <v>595</v>
      </c>
      <c r="F166" s="166"/>
      <c r="G166" s="170" t="s">
        <v>29</v>
      </c>
      <c r="H166" s="170"/>
      <c r="I166" s="170"/>
      <c r="J166" s="170"/>
      <c r="K166" s="170" t="s">
        <v>29</v>
      </c>
      <c r="L166" s="170"/>
      <c r="M166" s="170"/>
      <c r="N166" s="170"/>
      <c r="O166" s="170"/>
      <c r="P166" s="170"/>
      <c r="Q166" s="170"/>
      <c r="R166" s="170"/>
    </row>
    <row r="167" spans="1:18" ht="27.6" x14ac:dyDescent="0.25">
      <c r="A167" s="166" t="s">
        <v>806</v>
      </c>
      <c r="B167" s="166" t="s">
        <v>597</v>
      </c>
      <c r="C167" s="166"/>
      <c r="D167" s="166" t="s">
        <v>598</v>
      </c>
      <c r="E167" s="166" t="s">
        <v>599</v>
      </c>
      <c r="F167" s="166"/>
      <c r="G167" s="170" t="s">
        <v>29</v>
      </c>
      <c r="H167" s="170"/>
      <c r="I167" s="170"/>
      <c r="J167" s="170"/>
      <c r="K167" s="170" t="s">
        <v>29</v>
      </c>
      <c r="L167" s="170"/>
      <c r="M167" s="170"/>
      <c r="N167" s="170"/>
      <c r="O167" s="170"/>
      <c r="P167" s="170"/>
      <c r="Q167" s="170"/>
      <c r="R167" s="170"/>
    </row>
    <row r="168" spans="1:18" ht="69" x14ac:dyDescent="0.25">
      <c r="A168" s="166" t="s">
        <v>807</v>
      </c>
      <c r="B168" s="166" t="s">
        <v>601</v>
      </c>
      <c r="C168" s="166"/>
      <c r="D168" s="166" t="s">
        <v>602</v>
      </c>
      <c r="E168" s="166" t="s">
        <v>603</v>
      </c>
      <c r="F168" s="166"/>
      <c r="G168" s="170" t="s">
        <v>29</v>
      </c>
      <c r="H168" s="170"/>
      <c r="I168" s="170"/>
      <c r="J168" s="170"/>
      <c r="K168" s="170" t="s">
        <v>29</v>
      </c>
      <c r="L168" s="170"/>
      <c r="M168" s="170"/>
      <c r="N168" s="170"/>
      <c r="O168" s="170"/>
      <c r="P168" s="170"/>
      <c r="Q168" s="170"/>
      <c r="R168" s="170"/>
    </row>
    <row r="169" spans="1:18" ht="27.6" x14ac:dyDescent="0.25">
      <c r="A169" s="166" t="s">
        <v>808</v>
      </c>
      <c r="B169" s="166" t="s">
        <v>605</v>
      </c>
      <c r="C169" s="166"/>
      <c r="D169" s="166" t="s">
        <v>606</v>
      </c>
      <c r="E169" s="166" t="s">
        <v>607</v>
      </c>
      <c r="F169" s="166"/>
      <c r="G169" s="170" t="s">
        <v>29</v>
      </c>
      <c r="H169" s="170"/>
      <c r="I169" s="170"/>
      <c r="J169" s="170"/>
      <c r="K169" s="170" t="s">
        <v>29</v>
      </c>
      <c r="L169" s="170"/>
      <c r="M169" s="170"/>
      <c r="N169" s="170"/>
      <c r="O169" s="170"/>
      <c r="P169" s="170"/>
      <c r="Q169" s="170"/>
      <c r="R169" s="170"/>
    </row>
    <row r="170" spans="1:18" ht="27.6" x14ac:dyDescent="0.25">
      <c r="A170" s="166" t="s">
        <v>809</v>
      </c>
      <c r="B170" s="166" t="s">
        <v>609</v>
      </c>
      <c r="C170" s="166"/>
      <c r="D170" s="166" t="s">
        <v>610</v>
      </c>
      <c r="E170" s="166" t="s">
        <v>607</v>
      </c>
      <c r="F170" s="166"/>
      <c r="G170" s="170" t="s">
        <v>29</v>
      </c>
      <c r="H170" s="170"/>
      <c r="I170" s="170"/>
      <c r="J170" s="170"/>
      <c r="K170" s="170" t="s">
        <v>29</v>
      </c>
      <c r="L170" s="170"/>
      <c r="M170" s="170"/>
      <c r="N170" s="170"/>
      <c r="O170" s="170"/>
      <c r="P170" s="170"/>
      <c r="Q170" s="170"/>
      <c r="R170" s="170"/>
    </row>
    <row r="171" spans="1:18" ht="27.6" x14ac:dyDescent="0.25">
      <c r="A171" s="166" t="s">
        <v>810</v>
      </c>
      <c r="B171" s="166" t="s">
        <v>612</v>
      </c>
      <c r="C171" s="166"/>
      <c r="D171" s="166" t="s">
        <v>613</v>
      </c>
      <c r="E171" s="166" t="s">
        <v>614</v>
      </c>
      <c r="F171" s="166"/>
      <c r="G171" s="170" t="s">
        <v>29</v>
      </c>
      <c r="H171" s="170"/>
      <c r="I171" s="170"/>
      <c r="J171" s="170"/>
      <c r="K171" s="170" t="s">
        <v>29</v>
      </c>
      <c r="L171" s="170"/>
      <c r="M171" s="170"/>
      <c r="N171" s="170"/>
      <c r="O171" s="170"/>
      <c r="P171" s="170"/>
      <c r="Q171" s="170"/>
      <c r="R171" s="170"/>
    </row>
    <row r="172" spans="1:18" ht="27.6" x14ac:dyDescent="0.25">
      <c r="A172" s="166" t="s">
        <v>811</v>
      </c>
      <c r="B172" s="166" t="s">
        <v>616</v>
      </c>
      <c r="C172" s="166"/>
      <c r="D172" s="166" t="s">
        <v>617</v>
      </c>
      <c r="E172" s="166" t="s">
        <v>618</v>
      </c>
      <c r="F172" s="166"/>
      <c r="G172" s="170" t="s">
        <v>29</v>
      </c>
      <c r="H172" s="170"/>
      <c r="I172" s="170"/>
      <c r="J172" s="170"/>
      <c r="K172" s="170" t="s">
        <v>29</v>
      </c>
      <c r="L172" s="170"/>
      <c r="M172" s="170"/>
      <c r="N172" s="170"/>
      <c r="O172" s="170"/>
      <c r="P172" s="170"/>
      <c r="Q172" s="170"/>
      <c r="R172" s="170"/>
    </row>
    <row r="173" spans="1:18" ht="27.6" x14ac:dyDescent="0.25">
      <c r="A173" s="166" t="s">
        <v>812</v>
      </c>
      <c r="B173" s="166" t="s">
        <v>620</v>
      </c>
      <c r="C173" s="166"/>
      <c r="D173" s="166" t="s">
        <v>621</v>
      </c>
      <c r="E173" s="166" t="s">
        <v>618</v>
      </c>
      <c r="F173" s="166"/>
      <c r="G173" s="170" t="s">
        <v>29</v>
      </c>
      <c r="H173" s="170"/>
      <c r="I173" s="170"/>
      <c r="J173" s="170"/>
      <c r="K173" s="170" t="s">
        <v>29</v>
      </c>
      <c r="L173" s="170"/>
      <c r="M173" s="170"/>
      <c r="N173" s="170"/>
      <c r="O173" s="170"/>
      <c r="P173" s="170"/>
      <c r="Q173" s="170"/>
      <c r="R173" s="170"/>
    </row>
    <row r="174" spans="1:18" ht="13.2" x14ac:dyDescent="0.25">
      <c r="A174" s="175"/>
      <c r="B174" s="176" t="s">
        <v>622</v>
      </c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</row>
    <row r="175" spans="1:18" ht="41.4" x14ac:dyDescent="0.25">
      <c r="A175" s="166" t="s">
        <v>813</v>
      </c>
      <c r="B175" s="166" t="s">
        <v>624</v>
      </c>
      <c r="C175" s="166"/>
      <c r="D175" s="166" t="s">
        <v>625</v>
      </c>
      <c r="E175" s="166" t="s">
        <v>626</v>
      </c>
      <c r="F175" s="166"/>
      <c r="G175" s="170" t="s">
        <v>29</v>
      </c>
      <c r="H175" s="170"/>
      <c r="I175" s="170"/>
      <c r="J175" s="170"/>
      <c r="K175" s="170" t="s">
        <v>29</v>
      </c>
      <c r="L175" s="170"/>
      <c r="M175" s="170"/>
      <c r="N175" s="170"/>
      <c r="O175" s="170"/>
      <c r="P175" s="170"/>
      <c r="Q175" s="170"/>
      <c r="R175" s="170"/>
    </row>
    <row r="176" spans="1:18" ht="41.4" x14ac:dyDescent="0.25">
      <c r="A176" s="166" t="s">
        <v>814</v>
      </c>
      <c r="B176" s="166" t="s">
        <v>628</v>
      </c>
      <c r="C176" s="166"/>
      <c r="D176" s="166" t="s">
        <v>629</v>
      </c>
      <c r="E176" s="166" t="s">
        <v>626</v>
      </c>
      <c r="F176" s="166"/>
      <c r="G176" s="170" t="s">
        <v>29</v>
      </c>
      <c r="H176" s="170"/>
      <c r="I176" s="170"/>
      <c r="J176" s="170"/>
      <c r="K176" s="170" t="s">
        <v>29</v>
      </c>
      <c r="L176" s="170"/>
      <c r="M176" s="170"/>
      <c r="N176" s="170"/>
      <c r="O176" s="170"/>
      <c r="P176" s="170"/>
      <c r="Q176" s="170"/>
      <c r="R176" s="170"/>
    </row>
    <row r="177" spans="1:18" ht="55.2" x14ac:dyDescent="0.25">
      <c r="A177" s="166" t="s">
        <v>815</v>
      </c>
      <c r="B177" s="166" t="s">
        <v>631</v>
      </c>
      <c r="C177" s="166"/>
      <c r="D177" s="166" t="s">
        <v>632</v>
      </c>
      <c r="E177" s="166" t="s">
        <v>633</v>
      </c>
      <c r="F177" s="166"/>
      <c r="G177" s="170" t="s">
        <v>29</v>
      </c>
      <c r="H177" s="170"/>
      <c r="I177" s="170"/>
      <c r="J177" s="170"/>
      <c r="K177" s="170" t="s">
        <v>29</v>
      </c>
      <c r="L177" s="170"/>
      <c r="M177" s="170"/>
      <c r="N177" s="170"/>
      <c r="O177" s="170"/>
      <c r="P177" s="170"/>
      <c r="Q177" s="170"/>
      <c r="R177" s="170"/>
    </row>
    <row r="178" spans="1:18" ht="55.2" x14ac:dyDescent="0.25">
      <c r="A178" s="166" t="s">
        <v>816</v>
      </c>
      <c r="B178" s="166" t="s">
        <v>635</v>
      </c>
      <c r="C178" s="166"/>
      <c r="D178" s="166" t="s">
        <v>636</v>
      </c>
      <c r="E178" s="166" t="s">
        <v>637</v>
      </c>
      <c r="F178" s="166"/>
      <c r="G178" s="170" t="s">
        <v>29</v>
      </c>
      <c r="H178" s="170"/>
      <c r="I178" s="170"/>
      <c r="J178" s="170"/>
      <c r="K178" s="170" t="s">
        <v>29</v>
      </c>
      <c r="L178" s="170"/>
      <c r="M178" s="170"/>
      <c r="N178" s="170"/>
      <c r="O178" s="170"/>
      <c r="P178" s="170"/>
      <c r="Q178" s="170"/>
      <c r="R178" s="170"/>
    </row>
    <row r="179" spans="1:18" ht="55.2" x14ac:dyDescent="0.25">
      <c r="A179" s="166" t="s">
        <v>817</v>
      </c>
      <c r="B179" s="166" t="s">
        <v>639</v>
      </c>
      <c r="C179" s="166"/>
      <c r="D179" s="166" t="s">
        <v>640</v>
      </c>
      <c r="E179" s="166" t="s">
        <v>641</v>
      </c>
      <c r="F179" s="166"/>
      <c r="G179" s="170" t="s">
        <v>29</v>
      </c>
      <c r="H179" s="170"/>
      <c r="I179" s="170"/>
      <c r="J179" s="170"/>
      <c r="K179" s="170" t="s">
        <v>29</v>
      </c>
      <c r="L179" s="170"/>
      <c r="M179" s="170"/>
      <c r="N179" s="170"/>
      <c r="O179" s="170"/>
      <c r="P179" s="170"/>
      <c r="Q179" s="170"/>
      <c r="R179" s="170"/>
    </row>
    <row r="180" spans="1:18" ht="27.6" x14ac:dyDescent="0.25">
      <c r="A180" s="166" t="s">
        <v>818</v>
      </c>
      <c r="B180" s="166" t="s">
        <v>643</v>
      </c>
      <c r="C180" s="166" t="s">
        <v>644</v>
      </c>
      <c r="D180" s="166" t="s">
        <v>819</v>
      </c>
      <c r="E180" s="166" t="s">
        <v>820</v>
      </c>
      <c r="F180" s="166"/>
      <c r="G180" s="170" t="s">
        <v>29</v>
      </c>
      <c r="H180" s="170"/>
      <c r="I180" s="170"/>
      <c r="J180" s="170"/>
      <c r="K180" s="170" t="s">
        <v>29</v>
      </c>
      <c r="L180" s="170"/>
      <c r="M180" s="170"/>
      <c r="N180" s="170"/>
      <c r="O180" s="170"/>
      <c r="P180" s="170"/>
      <c r="Q180" s="170"/>
      <c r="R180" s="170"/>
    </row>
    <row r="181" spans="1:18" ht="27.6" x14ac:dyDescent="0.25">
      <c r="A181" s="166" t="s">
        <v>821</v>
      </c>
      <c r="B181" s="166" t="s">
        <v>648</v>
      </c>
      <c r="C181" s="166" t="s">
        <v>822</v>
      </c>
      <c r="D181" s="166" t="s">
        <v>28</v>
      </c>
      <c r="E181" s="166" t="s">
        <v>28</v>
      </c>
      <c r="F181" s="166" t="s">
        <v>28</v>
      </c>
      <c r="G181" s="170" t="s">
        <v>29</v>
      </c>
      <c r="H181" s="170"/>
      <c r="I181" s="170"/>
      <c r="J181" s="170"/>
      <c r="K181" s="170" t="s">
        <v>29</v>
      </c>
      <c r="L181" s="170"/>
      <c r="M181" s="170"/>
      <c r="N181" s="170"/>
      <c r="O181" s="170"/>
      <c r="P181" s="170"/>
      <c r="Q181" s="170"/>
      <c r="R181" s="170"/>
    </row>
    <row r="182" spans="1:18" ht="41.4" x14ac:dyDescent="0.25">
      <c r="A182" s="166" t="s">
        <v>823</v>
      </c>
      <c r="B182" s="166" t="s">
        <v>653</v>
      </c>
      <c r="C182" s="166" t="s">
        <v>654</v>
      </c>
      <c r="D182" s="166" t="s">
        <v>824</v>
      </c>
      <c r="E182" s="166" t="s">
        <v>656</v>
      </c>
      <c r="F182" s="166"/>
      <c r="G182" s="170" t="s">
        <v>29</v>
      </c>
      <c r="H182" s="170"/>
      <c r="I182" s="170"/>
      <c r="J182" s="170"/>
      <c r="K182" s="170" t="s">
        <v>29</v>
      </c>
      <c r="L182" s="170"/>
      <c r="M182" s="170"/>
      <c r="N182" s="170"/>
      <c r="O182" s="170"/>
      <c r="P182" s="170"/>
      <c r="Q182" s="170"/>
      <c r="R182" s="170"/>
    </row>
  </sheetData>
  <mergeCells count="39">
    <mergeCell ref="B174:R174"/>
    <mergeCell ref="D1:F1"/>
    <mergeCell ref="K1:K5"/>
    <mergeCell ref="G6:J6"/>
    <mergeCell ref="O1:O5"/>
    <mergeCell ref="B9:R9"/>
    <mergeCell ref="B4:C4"/>
    <mergeCell ref="B5:C5"/>
    <mergeCell ref="B164:R164"/>
    <mergeCell ref="C6:C7"/>
    <mergeCell ref="Q1:Q5"/>
    <mergeCell ref="F6:F7"/>
    <mergeCell ref="B165:R165"/>
    <mergeCell ref="A6:A7"/>
    <mergeCell ref="B121:R121"/>
    <mergeCell ref="G1:G5"/>
    <mergeCell ref="B131:R131"/>
    <mergeCell ref="K6:N6"/>
    <mergeCell ref="B2:C2"/>
    <mergeCell ref="B130:R130"/>
    <mergeCell ref="D4:F4"/>
    <mergeCell ref="D3:F3"/>
    <mergeCell ref="B111:R111"/>
    <mergeCell ref="E6:E7"/>
    <mergeCell ref="B1:C1"/>
    <mergeCell ref="B6:B7"/>
    <mergeCell ref="H1:H5"/>
    <mergeCell ref="B8:R8"/>
    <mergeCell ref="D2:F2"/>
    <mergeCell ref="B26:R26"/>
    <mergeCell ref="N1:N5"/>
    <mergeCell ref="B3:C3"/>
    <mergeCell ref="B144:R144"/>
    <mergeCell ref="O6:P6"/>
    <mergeCell ref="P1:P5"/>
    <mergeCell ref="D5:F5"/>
    <mergeCell ref="D6:D7"/>
    <mergeCell ref="Q6:R6"/>
    <mergeCell ref="B112:R112"/>
  </mergeCells>
  <dataValidations count="1">
    <dataValidation type="list" allowBlank="1" showErrorMessage="1" sqref="G10 G12:G29 G32 G34:G86 K10 K12:K29 K32 K34:K86 O10 O12:O29 O32 O34:O86 Q10 Q12:Q29 Q32 Q34:Q86" xr:uid="{00000000-0002-0000-0300-000000000000}">
      <formula1>"Fail,Pass,N/A,Untested,Pending"</formula1>
    </dataValidation>
  </dataValidations>
  <pageMargins left="0.7" right="0.7" top="0.75" bottom="0.75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/>
  </sheetViews>
  <sheetFormatPr defaultColWidth="12.6640625" defaultRowHeight="15" customHeight="1" x14ac:dyDescent="0.25"/>
  <cols>
    <col min="1" max="1" width="12.6640625" style="86" customWidth="1"/>
    <col min="2" max="2" width="3.21875" style="86" customWidth="1"/>
    <col min="3" max="3" width="24.33203125" style="86" customWidth="1"/>
    <col min="4" max="4" width="37.88671875" style="86" customWidth="1"/>
    <col min="5" max="5" width="15.21875" style="86" customWidth="1"/>
    <col min="6" max="6" width="8.77734375" style="86" customWidth="1"/>
    <col min="7" max="7" width="8.109375" style="86" customWidth="1"/>
    <col min="8" max="8" width="9.21875" style="86" customWidth="1"/>
    <col min="9" max="9" width="20.33203125" style="86" customWidth="1"/>
    <col min="10" max="10" width="8.77734375" style="86" customWidth="1"/>
    <col min="11" max="11" width="8.109375" style="86" customWidth="1"/>
    <col min="12" max="12" width="6.6640625" style="86" customWidth="1"/>
    <col min="13" max="13" width="12" style="86" customWidth="1"/>
    <col min="14" max="14" width="35.77734375" style="86" customWidth="1"/>
    <col min="15" max="15" width="4.21875" style="86" customWidth="1"/>
  </cols>
  <sheetData>
    <row r="1" spans="1:15" ht="15.75" customHeight="1" x14ac:dyDescent="0.4">
      <c r="A1" s="36"/>
      <c r="B1" s="37"/>
      <c r="C1" s="38"/>
      <c r="D1" s="39"/>
      <c r="E1" s="37"/>
      <c r="F1" s="38"/>
      <c r="G1" s="38"/>
      <c r="H1" s="37"/>
      <c r="I1" s="37"/>
      <c r="J1" s="38"/>
      <c r="K1" s="38"/>
      <c r="L1" s="37"/>
      <c r="M1" s="37"/>
      <c r="N1" s="37"/>
      <c r="O1" s="90"/>
    </row>
    <row r="2" spans="1:15" ht="15.75" customHeight="1" x14ac:dyDescent="0.25">
      <c r="A2" s="37"/>
      <c r="B2" s="37"/>
      <c r="C2" s="40"/>
      <c r="D2" s="41"/>
      <c r="E2" s="42"/>
      <c r="F2" s="40"/>
      <c r="G2" s="40"/>
      <c r="H2" s="42"/>
      <c r="I2" s="42"/>
      <c r="J2" s="40"/>
      <c r="K2" s="40"/>
      <c r="L2" s="42"/>
      <c r="M2" s="42"/>
      <c r="N2" s="37"/>
      <c r="O2" s="90"/>
    </row>
    <row r="3" spans="1:15" ht="15.75" customHeight="1" x14ac:dyDescent="0.4">
      <c r="A3" s="37"/>
      <c r="B3" s="37"/>
      <c r="C3" s="128" t="s">
        <v>825</v>
      </c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43"/>
      <c r="O3" s="90"/>
    </row>
    <row r="4" spans="1:15" ht="15.75" customHeight="1" x14ac:dyDescent="0.25">
      <c r="A4" s="37"/>
      <c r="B4" s="42"/>
      <c r="C4" s="44"/>
      <c r="D4" s="45"/>
      <c r="E4" s="46"/>
      <c r="F4" s="44"/>
      <c r="G4" s="44"/>
      <c r="H4" s="46"/>
      <c r="I4" s="46"/>
      <c r="J4" s="47"/>
      <c r="K4" s="47"/>
      <c r="L4" s="48"/>
      <c r="M4" s="48"/>
      <c r="N4" s="37"/>
      <c r="O4" s="90"/>
    </row>
    <row r="5" spans="1:15" ht="15.75" customHeight="1" x14ac:dyDescent="0.25">
      <c r="A5" s="37"/>
      <c r="B5" s="126" t="s">
        <v>37</v>
      </c>
      <c r="C5" s="138" t="s">
        <v>8</v>
      </c>
      <c r="D5" s="135" t="s">
        <v>39</v>
      </c>
      <c r="E5" s="136" t="s">
        <v>826</v>
      </c>
      <c r="F5" s="137"/>
      <c r="G5" s="137"/>
      <c r="H5" s="137"/>
      <c r="I5" s="133" t="s">
        <v>827</v>
      </c>
      <c r="J5" s="122"/>
      <c r="K5" s="122"/>
      <c r="L5" s="122"/>
      <c r="M5" s="122"/>
      <c r="N5" s="126" t="s">
        <v>828</v>
      </c>
      <c r="O5" s="90"/>
    </row>
    <row r="6" spans="1:15" ht="15.75" customHeight="1" x14ac:dyDescent="0.25">
      <c r="A6" s="37"/>
      <c r="B6" s="124"/>
      <c r="C6" s="124"/>
      <c r="D6" s="124"/>
      <c r="E6" s="49" t="s">
        <v>45</v>
      </c>
      <c r="F6" s="50" t="s">
        <v>829</v>
      </c>
      <c r="G6" s="50" t="s">
        <v>830</v>
      </c>
      <c r="H6" s="49" t="s">
        <v>46</v>
      </c>
      <c r="I6" s="51" t="s">
        <v>45</v>
      </c>
      <c r="J6" s="52" t="s">
        <v>829</v>
      </c>
      <c r="K6" s="52" t="s">
        <v>830</v>
      </c>
      <c r="L6" s="53" t="s">
        <v>831</v>
      </c>
      <c r="M6" s="53" t="s">
        <v>46</v>
      </c>
      <c r="N6" s="124"/>
      <c r="O6" s="90"/>
    </row>
    <row r="7" spans="1:15" ht="15.75" customHeight="1" x14ac:dyDescent="0.25">
      <c r="A7" s="37"/>
      <c r="B7" s="54">
        <v>1</v>
      </c>
      <c r="C7" s="127" t="s">
        <v>832</v>
      </c>
      <c r="D7" s="55" t="s">
        <v>833</v>
      </c>
      <c r="E7" s="56" t="s">
        <v>834</v>
      </c>
      <c r="F7" s="57"/>
      <c r="G7" s="58"/>
      <c r="H7" s="59"/>
      <c r="I7" s="54" t="s">
        <v>835</v>
      </c>
      <c r="J7" s="93">
        <v>45915</v>
      </c>
      <c r="K7" s="93">
        <v>45922</v>
      </c>
      <c r="L7" s="129">
        <v>4</v>
      </c>
      <c r="M7" s="54"/>
      <c r="N7" s="54"/>
      <c r="O7" s="90"/>
    </row>
    <row r="8" spans="1:15" ht="15.75" customHeight="1" x14ac:dyDescent="0.25">
      <c r="A8" s="37"/>
      <c r="B8" s="54"/>
      <c r="C8" s="124"/>
      <c r="D8" s="55" t="s">
        <v>836</v>
      </c>
      <c r="E8" s="56" t="s">
        <v>834</v>
      </c>
      <c r="F8" s="57"/>
      <c r="G8" s="58"/>
      <c r="H8" s="59"/>
      <c r="I8" s="54" t="s">
        <v>835</v>
      </c>
      <c r="J8" s="93">
        <v>45915</v>
      </c>
      <c r="K8" s="93">
        <v>45922</v>
      </c>
      <c r="L8" s="124"/>
      <c r="M8" s="54"/>
      <c r="N8" s="54"/>
      <c r="O8" s="90"/>
    </row>
    <row r="9" spans="1:15" ht="15.75" customHeight="1" x14ac:dyDescent="0.25">
      <c r="A9" s="37"/>
      <c r="B9" s="54"/>
      <c r="C9" s="124"/>
      <c r="D9" s="55" t="s">
        <v>837</v>
      </c>
      <c r="E9" s="56" t="s">
        <v>834</v>
      </c>
      <c r="F9" s="57"/>
      <c r="G9" s="58"/>
      <c r="H9" s="59"/>
      <c r="I9" s="54" t="s">
        <v>835</v>
      </c>
      <c r="J9" s="93">
        <v>45915</v>
      </c>
      <c r="K9" s="93">
        <v>45922</v>
      </c>
      <c r="L9" s="124"/>
      <c r="M9" s="54"/>
      <c r="N9" s="54"/>
      <c r="O9" s="90"/>
    </row>
    <row r="10" spans="1:15" ht="15.75" customHeight="1" x14ac:dyDescent="0.25">
      <c r="A10" s="37"/>
      <c r="B10" s="54"/>
      <c r="C10" s="124"/>
      <c r="D10" s="55" t="s">
        <v>838</v>
      </c>
      <c r="E10" s="56" t="s">
        <v>834</v>
      </c>
      <c r="F10" s="57"/>
      <c r="G10" s="58"/>
      <c r="H10" s="59"/>
      <c r="I10" s="54" t="s">
        <v>835</v>
      </c>
      <c r="J10" s="93">
        <v>45915</v>
      </c>
      <c r="K10" s="93">
        <v>45922</v>
      </c>
      <c r="L10" s="124"/>
      <c r="M10" s="54"/>
      <c r="N10" s="54"/>
      <c r="O10" s="90"/>
    </row>
    <row r="11" spans="1:15" ht="15.75" customHeight="1" x14ac:dyDescent="0.25">
      <c r="A11" s="37"/>
      <c r="B11" s="54"/>
      <c r="C11" s="124"/>
      <c r="D11" s="55" t="s">
        <v>839</v>
      </c>
      <c r="E11" s="56" t="s">
        <v>834</v>
      </c>
      <c r="F11" s="57"/>
      <c r="G11" s="58"/>
      <c r="H11" s="59"/>
      <c r="I11" s="54" t="s">
        <v>835</v>
      </c>
      <c r="J11" s="93">
        <v>45915</v>
      </c>
      <c r="K11" s="93">
        <v>45922</v>
      </c>
      <c r="L11" s="124"/>
      <c r="M11" s="54"/>
      <c r="N11" s="54"/>
      <c r="O11" s="90"/>
    </row>
    <row r="12" spans="1:15" ht="15.75" customHeight="1" x14ac:dyDescent="0.25">
      <c r="A12" s="37"/>
      <c r="B12" s="54"/>
      <c r="C12" s="124"/>
      <c r="D12" s="55" t="s">
        <v>840</v>
      </c>
      <c r="E12" s="56" t="s">
        <v>834</v>
      </c>
      <c r="F12" s="57"/>
      <c r="G12" s="58"/>
      <c r="H12" s="59"/>
      <c r="I12" s="54" t="s">
        <v>835</v>
      </c>
      <c r="J12" s="93">
        <v>45915</v>
      </c>
      <c r="K12" s="93">
        <v>45922</v>
      </c>
      <c r="L12" s="124"/>
      <c r="M12" s="54"/>
      <c r="N12" s="54"/>
      <c r="O12" s="90"/>
    </row>
    <row r="13" spans="1:15" ht="15.75" customHeight="1" x14ac:dyDescent="0.25">
      <c r="A13" s="37"/>
      <c r="B13" s="54">
        <v>2</v>
      </c>
      <c r="C13" s="124"/>
      <c r="D13" s="55" t="s">
        <v>841</v>
      </c>
      <c r="E13" s="56" t="s">
        <v>834</v>
      </c>
      <c r="F13" s="58"/>
      <c r="G13" s="58"/>
      <c r="H13" s="59"/>
      <c r="I13" s="54" t="s">
        <v>835</v>
      </c>
      <c r="J13" s="93">
        <v>45915</v>
      </c>
      <c r="K13" s="93">
        <v>45922</v>
      </c>
      <c r="L13" s="124"/>
      <c r="M13" s="54"/>
      <c r="N13" s="54"/>
      <c r="O13" s="90"/>
    </row>
    <row r="14" spans="1:15" ht="15.75" customHeight="1" x14ac:dyDescent="0.25">
      <c r="A14" s="37"/>
      <c r="B14" s="54"/>
      <c r="C14" s="124"/>
      <c r="D14" s="55" t="s">
        <v>842</v>
      </c>
      <c r="E14" s="56"/>
      <c r="F14" s="58"/>
      <c r="G14" s="58"/>
      <c r="H14" s="59"/>
      <c r="I14" s="54" t="s">
        <v>835</v>
      </c>
      <c r="J14" s="93">
        <v>45915</v>
      </c>
      <c r="K14" s="93">
        <v>45922</v>
      </c>
      <c r="L14" s="125"/>
      <c r="M14" s="54"/>
      <c r="N14" s="54"/>
      <c r="O14" s="90"/>
    </row>
    <row r="15" spans="1:15" ht="15.75" customHeight="1" x14ac:dyDescent="0.25">
      <c r="A15" s="37"/>
      <c r="B15" s="54">
        <v>3</v>
      </c>
      <c r="C15" s="127" t="s">
        <v>843</v>
      </c>
      <c r="D15" s="55" t="s">
        <v>833</v>
      </c>
      <c r="E15" s="56" t="s">
        <v>834</v>
      </c>
      <c r="F15" s="94"/>
      <c r="G15" s="94"/>
      <c r="H15" s="59"/>
      <c r="I15" s="54" t="s">
        <v>835</v>
      </c>
      <c r="J15" s="93">
        <v>45915</v>
      </c>
      <c r="K15" s="93">
        <v>45922</v>
      </c>
      <c r="L15" s="129">
        <v>3</v>
      </c>
      <c r="M15" s="54"/>
      <c r="N15" s="54"/>
      <c r="O15" s="131"/>
    </row>
    <row r="16" spans="1:15" ht="15.75" customHeight="1" x14ac:dyDescent="0.25">
      <c r="A16" s="37"/>
      <c r="B16" s="54">
        <v>4</v>
      </c>
      <c r="C16" s="124"/>
      <c r="D16" s="55" t="s">
        <v>836</v>
      </c>
      <c r="E16" s="56" t="s">
        <v>834</v>
      </c>
      <c r="F16" s="94"/>
      <c r="G16" s="94"/>
      <c r="H16" s="59"/>
      <c r="I16" s="54" t="s">
        <v>835</v>
      </c>
      <c r="J16" s="93">
        <v>45915</v>
      </c>
      <c r="K16" s="93">
        <v>45922</v>
      </c>
      <c r="L16" s="124"/>
      <c r="M16" s="54"/>
      <c r="N16" s="54"/>
      <c r="O16" s="132"/>
    </row>
    <row r="17" spans="1:15" ht="15.75" customHeight="1" x14ac:dyDescent="0.3">
      <c r="A17" s="37"/>
      <c r="B17" s="54">
        <v>5</v>
      </c>
      <c r="C17" s="124"/>
      <c r="D17" s="55" t="s">
        <v>844</v>
      </c>
      <c r="E17" s="56" t="s">
        <v>834</v>
      </c>
      <c r="F17" s="94"/>
      <c r="G17" s="94"/>
      <c r="H17" s="59"/>
      <c r="I17" s="54" t="s">
        <v>835</v>
      </c>
      <c r="J17" s="93">
        <v>45915</v>
      </c>
      <c r="K17" s="93">
        <v>45922</v>
      </c>
      <c r="L17" s="124"/>
      <c r="M17" s="60"/>
      <c r="N17" s="60"/>
      <c r="O17" s="132"/>
    </row>
    <row r="18" spans="1:15" ht="15.75" customHeight="1" x14ac:dyDescent="0.25">
      <c r="A18" s="37"/>
      <c r="B18" s="54">
        <v>6</v>
      </c>
      <c r="C18" s="124"/>
      <c r="D18" s="55" t="s">
        <v>845</v>
      </c>
      <c r="E18" s="56" t="s">
        <v>834</v>
      </c>
      <c r="F18" s="94"/>
      <c r="G18" s="94"/>
      <c r="H18" s="59"/>
      <c r="I18" s="54" t="s">
        <v>835</v>
      </c>
      <c r="J18" s="93">
        <v>45915</v>
      </c>
      <c r="K18" s="93">
        <v>45922</v>
      </c>
      <c r="L18" s="125"/>
      <c r="M18" s="54"/>
      <c r="N18" s="54"/>
      <c r="O18" s="132"/>
    </row>
    <row r="19" spans="1:15" ht="15.75" customHeight="1" x14ac:dyDescent="0.25">
      <c r="A19" s="37"/>
      <c r="B19" s="54">
        <v>7</v>
      </c>
      <c r="C19" s="61" t="s">
        <v>846</v>
      </c>
      <c r="D19" s="55" t="s">
        <v>847</v>
      </c>
      <c r="E19" s="56"/>
      <c r="F19" s="94"/>
      <c r="G19" s="94"/>
      <c r="H19" s="59"/>
      <c r="I19" s="54"/>
      <c r="J19" s="62"/>
      <c r="K19" s="62"/>
      <c r="L19" s="54"/>
      <c r="M19" s="54"/>
      <c r="N19" s="54"/>
      <c r="O19" s="132"/>
    </row>
    <row r="20" spans="1:15" ht="15.75" customHeight="1" x14ac:dyDescent="0.25">
      <c r="A20" s="37"/>
      <c r="B20" s="63">
        <v>22</v>
      </c>
      <c r="C20" s="134" t="s">
        <v>848</v>
      </c>
      <c r="D20" s="55" t="s">
        <v>833</v>
      </c>
      <c r="E20" s="59" t="s">
        <v>849</v>
      </c>
      <c r="F20" s="94"/>
      <c r="G20" s="94"/>
      <c r="H20" s="59"/>
      <c r="I20" s="54" t="s">
        <v>850</v>
      </c>
      <c r="J20" s="93">
        <v>45908</v>
      </c>
      <c r="K20" s="93">
        <v>45912</v>
      </c>
      <c r="L20" s="129">
        <v>5</v>
      </c>
      <c r="M20" s="54" t="s">
        <v>851</v>
      </c>
      <c r="N20" s="54"/>
      <c r="O20" s="90"/>
    </row>
    <row r="21" spans="1:15" ht="15.75" customHeight="1" x14ac:dyDescent="0.25">
      <c r="A21" s="37"/>
      <c r="B21" s="63"/>
      <c r="C21" s="124"/>
      <c r="D21" s="55" t="s">
        <v>852</v>
      </c>
      <c r="E21" s="59" t="s">
        <v>849</v>
      </c>
      <c r="F21" s="94"/>
      <c r="G21" s="94"/>
      <c r="H21" s="59"/>
      <c r="I21" s="54" t="s">
        <v>850</v>
      </c>
      <c r="J21" s="93">
        <v>45908</v>
      </c>
      <c r="K21" s="93">
        <v>45912</v>
      </c>
      <c r="L21" s="124"/>
      <c r="M21" s="54" t="s">
        <v>851</v>
      </c>
      <c r="N21" s="54"/>
      <c r="O21" s="90"/>
    </row>
    <row r="22" spans="1:15" ht="15.75" customHeight="1" x14ac:dyDescent="0.25">
      <c r="A22" s="37"/>
      <c r="B22" s="63">
        <v>24</v>
      </c>
      <c r="C22" s="124"/>
      <c r="D22" s="55" t="s">
        <v>844</v>
      </c>
      <c r="E22" s="59" t="s">
        <v>849</v>
      </c>
      <c r="F22" s="94"/>
      <c r="G22" s="94"/>
      <c r="H22" s="59"/>
      <c r="I22" s="54" t="s">
        <v>850</v>
      </c>
      <c r="J22" s="93">
        <v>45908</v>
      </c>
      <c r="K22" s="93">
        <v>45912</v>
      </c>
      <c r="L22" s="124"/>
      <c r="M22" s="54" t="s">
        <v>851</v>
      </c>
      <c r="N22" s="54"/>
      <c r="O22" s="90"/>
    </row>
    <row r="23" spans="1:15" ht="15.75" customHeight="1" x14ac:dyDescent="0.25">
      <c r="A23" s="37"/>
      <c r="B23" s="63"/>
      <c r="C23" s="124"/>
      <c r="D23" s="55" t="s">
        <v>853</v>
      </c>
      <c r="E23" s="59" t="s">
        <v>849</v>
      </c>
      <c r="F23" s="94"/>
      <c r="G23" s="94"/>
      <c r="H23" s="59"/>
      <c r="I23" s="54" t="s">
        <v>850</v>
      </c>
      <c r="J23" s="93">
        <v>45908</v>
      </c>
      <c r="K23" s="93">
        <v>45912</v>
      </c>
      <c r="L23" s="124"/>
      <c r="M23" s="54" t="s">
        <v>851</v>
      </c>
      <c r="N23" s="54"/>
      <c r="O23" s="90"/>
    </row>
    <row r="24" spans="1:15" ht="15.75" customHeight="1" x14ac:dyDescent="0.25">
      <c r="A24" s="37"/>
      <c r="B24" s="63"/>
      <c r="C24" s="124"/>
      <c r="D24" s="55" t="s">
        <v>854</v>
      </c>
      <c r="E24" s="59" t="s">
        <v>849</v>
      </c>
      <c r="F24" s="94"/>
      <c r="G24" s="94"/>
      <c r="H24" s="59"/>
      <c r="I24" s="54" t="s">
        <v>850</v>
      </c>
      <c r="J24" s="93">
        <v>45908</v>
      </c>
      <c r="K24" s="93">
        <v>45912</v>
      </c>
      <c r="L24" s="124"/>
      <c r="M24" s="54" t="s">
        <v>851</v>
      </c>
      <c r="N24" s="54"/>
      <c r="O24" s="90"/>
    </row>
    <row r="25" spans="1:15" ht="15.75" customHeight="1" x14ac:dyDescent="0.25">
      <c r="A25" s="37"/>
      <c r="B25" s="63"/>
      <c r="C25" s="124"/>
      <c r="D25" s="55" t="s">
        <v>855</v>
      </c>
      <c r="E25" s="59" t="s">
        <v>849</v>
      </c>
      <c r="F25" s="58"/>
      <c r="G25" s="58"/>
      <c r="H25" s="59"/>
      <c r="I25" s="54" t="s">
        <v>850</v>
      </c>
      <c r="J25" s="93">
        <v>45908</v>
      </c>
      <c r="K25" s="93">
        <v>45912</v>
      </c>
      <c r="L25" s="124"/>
      <c r="M25" s="54" t="s">
        <v>851</v>
      </c>
      <c r="N25" s="54"/>
      <c r="O25" s="90"/>
    </row>
    <row r="26" spans="1:15" ht="15.75" customHeight="1" x14ac:dyDescent="0.3">
      <c r="A26" s="37"/>
      <c r="B26" s="63">
        <v>28</v>
      </c>
      <c r="C26" s="125"/>
      <c r="D26" s="64" t="s">
        <v>856</v>
      </c>
      <c r="E26" s="59" t="s">
        <v>849</v>
      </c>
      <c r="F26" s="58"/>
      <c r="G26" s="65"/>
      <c r="H26" s="59"/>
      <c r="I26" s="54" t="s">
        <v>850</v>
      </c>
      <c r="J26" s="93">
        <v>45908</v>
      </c>
      <c r="K26" s="93">
        <v>45912</v>
      </c>
      <c r="L26" s="125"/>
      <c r="M26" s="54" t="s">
        <v>851</v>
      </c>
      <c r="N26" s="60"/>
      <c r="O26" s="90"/>
    </row>
    <row r="27" spans="1:15" ht="15.75" customHeight="1" x14ac:dyDescent="0.25">
      <c r="A27" s="37"/>
      <c r="B27" s="66">
        <v>29</v>
      </c>
      <c r="C27" s="67" t="s">
        <v>857</v>
      </c>
      <c r="D27" s="64"/>
      <c r="E27" s="66" t="s">
        <v>858</v>
      </c>
      <c r="F27" s="67"/>
      <c r="G27" s="67"/>
      <c r="H27" s="66"/>
      <c r="I27" s="66"/>
      <c r="J27" s="67"/>
      <c r="K27" s="67"/>
      <c r="L27" s="66">
        <v>1</v>
      </c>
      <c r="M27" s="66" t="s">
        <v>859</v>
      </c>
      <c r="N27" s="66"/>
      <c r="O27" s="90"/>
    </row>
    <row r="28" spans="1:15" ht="15.75" customHeight="1" x14ac:dyDescent="0.25">
      <c r="A28" s="68"/>
      <c r="B28" s="69"/>
      <c r="C28" s="70"/>
      <c r="D28" s="71"/>
      <c r="E28" s="69"/>
      <c r="F28" s="70"/>
      <c r="G28" s="70"/>
      <c r="H28" s="69"/>
      <c r="I28" s="69"/>
      <c r="J28" s="70"/>
      <c r="K28" s="70"/>
      <c r="L28" s="69"/>
      <c r="M28" s="69"/>
      <c r="N28" s="69"/>
      <c r="O28" s="90"/>
    </row>
    <row r="29" spans="1:15" ht="15.75" customHeight="1" x14ac:dyDescent="0.25">
      <c r="A29" s="68"/>
      <c r="B29" s="68"/>
      <c r="C29" s="72"/>
      <c r="D29" s="73"/>
      <c r="E29" s="68"/>
      <c r="F29" s="72"/>
      <c r="G29" s="72"/>
      <c r="H29" s="68"/>
      <c r="I29" s="68"/>
      <c r="J29" s="72"/>
      <c r="K29" s="72"/>
      <c r="L29" s="68"/>
      <c r="M29" s="68"/>
      <c r="N29" s="68"/>
      <c r="O29" s="90"/>
    </row>
    <row r="30" spans="1:15" ht="15.75" customHeight="1" x14ac:dyDescent="0.25">
      <c r="A30" s="68"/>
      <c r="B30" s="68"/>
      <c r="C30" s="72"/>
      <c r="D30" s="73"/>
      <c r="E30" s="68"/>
      <c r="F30" s="72"/>
      <c r="G30" s="72"/>
      <c r="H30" s="68"/>
      <c r="I30" s="68"/>
      <c r="J30" s="72"/>
      <c r="K30" s="72"/>
      <c r="L30" s="68"/>
      <c r="M30" s="68"/>
      <c r="N30" s="68"/>
      <c r="O30" s="90"/>
    </row>
    <row r="31" spans="1:15" ht="15.75" customHeight="1" x14ac:dyDescent="0.25">
      <c r="A31" s="68"/>
      <c r="B31" s="68"/>
      <c r="C31" s="72"/>
      <c r="D31" s="73"/>
      <c r="E31" s="68"/>
      <c r="F31" s="72"/>
      <c r="G31" s="72"/>
      <c r="H31" s="68"/>
      <c r="I31" s="68"/>
      <c r="J31" s="72"/>
      <c r="K31" s="72"/>
      <c r="L31" s="68"/>
      <c r="M31" s="68"/>
      <c r="N31" s="68"/>
      <c r="O31" s="90"/>
    </row>
    <row r="32" spans="1:15" ht="15.75" customHeight="1" x14ac:dyDescent="0.25">
      <c r="A32" s="68"/>
      <c r="B32" s="68"/>
      <c r="C32" s="72"/>
      <c r="D32" s="73"/>
      <c r="E32" s="68"/>
      <c r="F32" s="72"/>
      <c r="G32" s="72"/>
      <c r="H32" s="68"/>
      <c r="I32" s="68"/>
      <c r="J32" s="72"/>
      <c r="K32" s="72"/>
      <c r="L32" s="68"/>
      <c r="M32" s="68"/>
      <c r="N32" s="68"/>
      <c r="O32" s="90"/>
    </row>
    <row r="33" spans="1:15" ht="15.75" customHeight="1" x14ac:dyDescent="0.25">
      <c r="A33" s="68"/>
      <c r="B33" s="68"/>
      <c r="C33" s="72"/>
      <c r="D33" s="73"/>
      <c r="E33" s="68"/>
      <c r="F33" s="72"/>
      <c r="G33" s="72"/>
      <c r="H33" s="68"/>
      <c r="I33" s="68"/>
      <c r="J33" s="72"/>
      <c r="K33" s="72"/>
      <c r="L33" s="68"/>
      <c r="M33" s="68"/>
      <c r="N33" s="68"/>
      <c r="O33" s="90"/>
    </row>
    <row r="34" spans="1:15" ht="15.75" customHeight="1" x14ac:dyDescent="0.25">
      <c r="A34" s="68"/>
      <c r="B34" s="68"/>
      <c r="C34" s="72"/>
      <c r="D34" s="73"/>
      <c r="E34" s="68"/>
      <c r="F34" s="72"/>
      <c r="G34" s="72"/>
      <c r="H34" s="68"/>
      <c r="I34" s="68"/>
      <c r="J34" s="72"/>
      <c r="K34" s="72"/>
      <c r="L34" s="68"/>
      <c r="M34" s="68"/>
      <c r="N34" s="68"/>
      <c r="O34" s="90"/>
    </row>
    <row r="35" spans="1:15" ht="15.75" customHeight="1" x14ac:dyDescent="0.25">
      <c r="A35" s="68"/>
      <c r="B35" s="68"/>
      <c r="C35" s="72"/>
      <c r="D35" s="73"/>
      <c r="E35" s="68"/>
      <c r="F35" s="72"/>
      <c r="G35" s="72"/>
      <c r="H35" s="68"/>
      <c r="I35" s="68"/>
      <c r="J35" s="72"/>
      <c r="K35" s="72"/>
      <c r="L35" s="68"/>
      <c r="M35" s="68"/>
      <c r="N35" s="68"/>
      <c r="O35" s="90"/>
    </row>
    <row r="36" spans="1:15" ht="15.75" customHeight="1" x14ac:dyDescent="0.25">
      <c r="A36" s="68"/>
      <c r="B36" s="68"/>
      <c r="C36" s="72"/>
      <c r="D36" s="73"/>
      <c r="E36" s="68"/>
      <c r="F36" s="72"/>
      <c r="G36" s="72"/>
      <c r="H36" s="68"/>
      <c r="I36" s="68"/>
      <c r="J36" s="72"/>
      <c r="K36" s="72"/>
      <c r="L36" s="68"/>
      <c r="M36" s="68"/>
      <c r="N36" s="68"/>
      <c r="O36" s="90"/>
    </row>
    <row r="37" spans="1:15" ht="15.75" customHeight="1" x14ac:dyDescent="0.25">
      <c r="A37" s="68"/>
      <c r="B37" s="68"/>
      <c r="C37" s="72"/>
      <c r="D37" s="73"/>
      <c r="E37" s="68"/>
      <c r="F37" s="72"/>
      <c r="G37" s="72"/>
      <c r="H37" s="68"/>
      <c r="I37" s="68"/>
      <c r="J37" s="72"/>
      <c r="K37" s="72"/>
      <c r="L37" s="68"/>
      <c r="M37" s="68"/>
      <c r="N37" s="68"/>
      <c r="O37" s="90"/>
    </row>
    <row r="38" spans="1:15" ht="15.75" customHeight="1" x14ac:dyDescent="0.25">
      <c r="A38" s="68"/>
      <c r="B38" s="68"/>
      <c r="C38" s="72"/>
      <c r="D38" s="73"/>
      <c r="E38" s="68"/>
      <c r="F38" s="72"/>
      <c r="G38" s="72"/>
      <c r="H38" s="68"/>
      <c r="I38" s="68"/>
      <c r="J38" s="72"/>
      <c r="K38" s="72"/>
      <c r="L38" s="68"/>
      <c r="M38" s="68"/>
      <c r="N38" s="68"/>
      <c r="O38" s="90"/>
    </row>
    <row r="39" spans="1:15" ht="15.75" customHeight="1" x14ac:dyDescent="0.25">
      <c r="A39" s="68"/>
      <c r="B39" s="68"/>
      <c r="C39" s="72"/>
      <c r="D39" s="73"/>
      <c r="E39" s="68"/>
      <c r="F39" s="72"/>
      <c r="G39" s="72"/>
      <c r="H39" s="68"/>
      <c r="I39" s="68"/>
      <c r="J39" s="72"/>
      <c r="K39" s="72"/>
      <c r="L39" s="68"/>
      <c r="M39" s="68"/>
      <c r="N39" s="68"/>
      <c r="O39" s="90"/>
    </row>
    <row r="40" spans="1:15" ht="15.75" customHeight="1" x14ac:dyDescent="0.25">
      <c r="A40" s="68"/>
      <c r="B40" s="68"/>
      <c r="C40" s="72"/>
      <c r="D40" s="73"/>
      <c r="E40" s="68"/>
      <c r="F40" s="72"/>
      <c r="G40" s="72"/>
      <c r="H40" s="68"/>
      <c r="I40" s="68"/>
      <c r="J40" s="72"/>
      <c r="K40" s="72"/>
      <c r="L40" s="68"/>
      <c r="M40" s="68"/>
      <c r="N40" s="68"/>
      <c r="O40" s="90"/>
    </row>
    <row r="41" spans="1:15" ht="15.75" customHeight="1" x14ac:dyDescent="0.25">
      <c r="A41" s="68"/>
      <c r="B41" s="68"/>
      <c r="C41" s="72"/>
      <c r="D41" s="73"/>
      <c r="E41" s="68"/>
      <c r="F41" s="72"/>
      <c r="G41" s="72"/>
      <c r="H41" s="68"/>
      <c r="I41" s="68"/>
      <c r="J41" s="72"/>
      <c r="K41" s="72"/>
      <c r="L41" s="68"/>
      <c r="M41" s="68"/>
      <c r="N41" s="68"/>
      <c r="O41" s="90"/>
    </row>
    <row r="42" spans="1:15" ht="15.75" customHeight="1" x14ac:dyDescent="0.25">
      <c r="A42" s="68"/>
      <c r="B42" s="68"/>
      <c r="C42" s="72"/>
      <c r="D42" s="73"/>
      <c r="E42" s="68"/>
      <c r="F42" s="72"/>
      <c r="G42" s="72"/>
      <c r="H42" s="68"/>
      <c r="I42" s="68"/>
      <c r="J42" s="72"/>
      <c r="K42" s="72"/>
      <c r="L42" s="68"/>
      <c r="M42" s="68"/>
      <c r="N42" s="68"/>
      <c r="O42" s="90"/>
    </row>
    <row r="43" spans="1:15" ht="15.75" customHeight="1" x14ac:dyDescent="0.25">
      <c r="A43" s="68"/>
      <c r="B43" s="68"/>
      <c r="C43" s="72"/>
      <c r="D43" s="73"/>
      <c r="E43" s="68"/>
      <c r="F43" s="72"/>
      <c r="G43" s="72"/>
      <c r="H43" s="68"/>
      <c r="I43" s="68"/>
      <c r="J43" s="72"/>
      <c r="K43" s="72"/>
      <c r="L43" s="68"/>
      <c r="M43" s="68"/>
      <c r="N43" s="68"/>
      <c r="O43" s="90"/>
    </row>
    <row r="44" spans="1:15" ht="15.75" customHeight="1" x14ac:dyDescent="0.25">
      <c r="A44" s="68"/>
      <c r="B44" s="68"/>
      <c r="C44" s="72"/>
      <c r="D44" s="73"/>
      <c r="E44" s="68"/>
      <c r="F44" s="72"/>
      <c r="G44" s="72"/>
      <c r="H44" s="68"/>
      <c r="I44" s="68"/>
      <c r="J44" s="72"/>
      <c r="K44" s="72"/>
      <c r="L44" s="68"/>
      <c r="M44" s="68"/>
      <c r="N44" s="68"/>
      <c r="O44" s="90"/>
    </row>
    <row r="45" spans="1:15" ht="15.75" customHeight="1" x14ac:dyDescent="0.25">
      <c r="A45" s="90"/>
      <c r="B45" s="68"/>
      <c r="C45" s="72"/>
      <c r="D45" s="73"/>
      <c r="E45" s="68"/>
      <c r="F45" s="72"/>
      <c r="G45" s="72"/>
      <c r="H45" s="68"/>
      <c r="I45" s="68"/>
      <c r="J45" s="72"/>
      <c r="K45" s="72"/>
      <c r="L45" s="68"/>
      <c r="M45" s="68"/>
      <c r="N45" s="68"/>
      <c r="O45" s="90"/>
    </row>
    <row r="46" spans="1:15" ht="15.75" customHeight="1" x14ac:dyDescent="0.25">
      <c r="A46" s="90"/>
      <c r="B46" s="90"/>
      <c r="C46" s="74"/>
      <c r="D46" s="75"/>
      <c r="E46" s="90"/>
      <c r="F46" s="74"/>
      <c r="G46" s="74"/>
      <c r="H46" s="68"/>
      <c r="I46" s="68"/>
      <c r="J46" s="72"/>
      <c r="K46" s="72"/>
      <c r="L46" s="68"/>
      <c r="M46" s="68"/>
      <c r="N46" s="68"/>
      <c r="O46" s="90"/>
    </row>
    <row r="47" spans="1:15" ht="15.75" customHeight="1" x14ac:dyDescent="0.25">
      <c r="A47" s="90"/>
      <c r="B47" s="90"/>
      <c r="C47" s="74"/>
      <c r="D47" s="75"/>
      <c r="E47" s="90"/>
      <c r="F47" s="74"/>
      <c r="G47" s="74"/>
      <c r="H47" s="68"/>
      <c r="I47" s="68"/>
      <c r="J47" s="72"/>
      <c r="K47" s="72"/>
      <c r="L47" s="68"/>
      <c r="M47" s="68"/>
      <c r="N47" s="68"/>
      <c r="O47" s="90"/>
    </row>
    <row r="48" spans="1:15" ht="15.75" customHeight="1" x14ac:dyDescent="0.25">
      <c r="A48" s="90"/>
      <c r="B48" s="90"/>
      <c r="C48" s="74"/>
      <c r="D48" s="75"/>
      <c r="E48" s="90"/>
      <c r="F48" s="74"/>
      <c r="G48" s="74"/>
      <c r="H48" s="68"/>
      <c r="I48" s="68"/>
      <c r="J48" s="72"/>
      <c r="K48" s="72"/>
      <c r="L48" s="68"/>
      <c r="M48" s="68"/>
      <c r="N48" s="68"/>
      <c r="O48" s="90"/>
    </row>
    <row r="49" spans="1:15" ht="15.75" customHeight="1" x14ac:dyDescent="0.25">
      <c r="A49" s="90"/>
      <c r="B49" s="90"/>
      <c r="C49" s="74"/>
      <c r="D49" s="75"/>
      <c r="E49" s="90"/>
      <c r="F49" s="74"/>
      <c r="G49" s="74"/>
      <c r="H49" s="68"/>
      <c r="I49" s="68"/>
      <c r="J49" s="72"/>
      <c r="K49" s="72"/>
      <c r="L49" s="68"/>
      <c r="M49" s="68"/>
      <c r="N49" s="68"/>
      <c r="O49" s="90"/>
    </row>
    <row r="50" spans="1:15" ht="15.75" customHeight="1" x14ac:dyDescent="0.25">
      <c r="A50" s="90"/>
      <c r="B50" s="90"/>
      <c r="C50" s="74"/>
      <c r="D50" s="75"/>
      <c r="E50" s="90"/>
      <c r="F50" s="74"/>
      <c r="G50" s="74"/>
      <c r="H50" s="68"/>
      <c r="I50" s="68"/>
      <c r="J50" s="72"/>
      <c r="K50" s="72"/>
      <c r="L50" s="68"/>
      <c r="M50" s="68"/>
      <c r="N50" s="68"/>
      <c r="O50" s="90"/>
    </row>
    <row r="51" spans="1:15" ht="15.75" customHeight="1" x14ac:dyDescent="0.25">
      <c r="A51" s="90"/>
      <c r="B51" s="90"/>
      <c r="C51" s="74"/>
      <c r="D51" s="75"/>
      <c r="E51" s="90"/>
      <c r="F51" s="74"/>
      <c r="G51" s="74"/>
      <c r="H51" s="68"/>
      <c r="I51" s="68"/>
      <c r="J51" s="72"/>
      <c r="K51" s="72"/>
      <c r="L51" s="68"/>
      <c r="M51" s="68"/>
      <c r="N51" s="68"/>
      <c r="O51" s="90"/>
    </row>
    <row r="52" spans="1:15" ht="15.75" customHeight="1" x14ac:dyDescent="0.25">
      <c r="A52" s="90"/>
      <c r="B52" s="90"/>
      <c r="C52" s="74"/>
      <c r="D52" s="75"/>
      <c r="E52" s="90"/>
      <c r="F52" s="74"/>
      <c r="G52" s="74"/>
      <c r="H52" s="68"/>
      <c r="I52" s="68"/>
      <c r="J52" s="72"/>
      <c r="K52" s="72"/>
      <c r="L52" s="68"/>
      <c r="M52" s="68"/>
      <c r="N52" s="68"/>
      <c r="O52" s="90"/>
    </row>
    <row r="53" spans="1:15" ht="15.75" customHeight="1" x14ac:dyDescent="0.25">
      <c r="A53" s="90"/>
      <c r="B53" s="90"/>
      <c r="C53" s="74"/>
      <c r="D53" s="75"/>
      <c r="E53" s="90"/>
      <c r="F53" s="74"/>
      <c r="G53" s="74"/>
      <c r="H53" s="68"/>
      <c r="I53" s="68"/>
      <c r="J53" s="72"/>
      <c r="K53" s="72"/>
      <c r="L53" s="68"/>
      <c r="M53" s="68"/>
      <c r="N53" s="68"/>
      <c r="O53" s="90"/>
    </row>
    <row r="54" spans="1:15" ht="15.75" customHeight="1" x14ac:dyDescent="0.25">
      <c r="A54" s="90"/>
      <c r="B54" s="90"/>
      <c r="C54" s="74"/>
      <c r="D54" s="75"/>
      <c r="E54" s="90"/>
      <c r="F54" s="74"/>
      <c r="G54" s="74"/>
      <c r="H54" s="68"/>
      <c r="I54" s="68"/>
      <c r="J54" s="72"/>
      <c r="K54" s="72"/>
      <c r="L54" s="68"/>
      <c r="M54" s="68"/>
      <c r="N54" s="68"/>
      <c r="O54" s="90"/>
    </row>
    <row r="55" spans="1:15" ht="15.75" customHeight="1" x14ac:dyDescent="0.25">
      <c r="A55" s="90"/>
      <c r="B55" s="90"/>
      <c r="C55" s="74"/>
      <c r="D55" s="75"/>
      <c r="E55" s="90"/>
      <c r="F55" s="74"/>
      <c r="G55" s="74"/>
      <c r="H55" s="68"/>
      <c r="I55" s="68"/>
      <c r="J55" s="72"/>
      <c r="K55" s="72"/>
      <c r="L55" s="68"/>
      <c r="M55" s="68"/>
      <c r="N55" s="68"/>
      <c r="O55" s="90"/>
    </row>
    <row r="56" spans="1:15" ht="15.75" customHeight="1" x14ac:dyDescent="0.25">
      <c r="A56" s="90"/>
      <c r="B56" s="90"/>
      <c r="C56" s="74"/>
      <c r="D56" s="75"/>
      <c r="E56" s="90"/>
      <c r="F56" s="74"/>
      <c r="G56" s="74"/>
      <c r="H56" s="68"/>
      <c r="I56" s="68"/>
      <c r="J56" s="72"/>
      <c r="K56" s="72"/>
      <c r="L56" s="68"/>
      <c r="M56" s="68"/>
      <c r="N56" s="68"/>
      <c r="O56" s="90"/>
    </row>
    <row r="57" spans="1:15" ht="15.75" customHeight="1" x14ac:dyDescent="0.25">
      <c r="A57" s="90"/>
      <c r="B57" s="90"/>
      <c r="C57" s="74"/>
      <c r="D57" s="75"/>
      <c r="E57" s="90"/>
      <c r="F57" s="74"/>
      <c r="G57" s="74"/>
      <c r="H57" s="68"/>
      <c r="I57" s="68"/>
      <c r="J57" s="72"/>
      <c r="K57" s="72"/>
      <c r="L57" s="68"/>
      <c r="M57" s="68"/>
      <c r="N57" s="68"/>
      <c r="O57" s="90"/>
    </row>
    <row r="58" spans="1:15" ht="15.75" customHeight="1" x14ac:dyDescent="0.25">
      <c r="A58" s="90"/>
      <c r="B58" s="90"/>
      <c r="C58" s="74"/>
      <c r="D58" s="75"/>
      <c r="E58" s="90"/>
      <c r="F58" s="74"/>
      <c r="G58" s="74"/>
      <c r="H58" s="68"/>
      <c r="I58" s="68"/>
      <c r="J58" s="72"/>
      <c r="K58" s="72"/>
      <c r="L58" s="68"/>
      <c r="M58" s="68"/>
      <c r="N58" s="68"/>
      <c r="O58" s="90"/>
    </row>
    <row r="59" spans="1:15" ht="15.75" customHeight="1" x14ac:dyDescent="0.25">
      <c r="A59" s="90"/>
      <c r="B59" s="90"/>
      <c r="C59" s="74"/>
      <c r="D59" s="75"/>
      <c r="E59" s="90"/>
      <c r="F59" s="74"/>
      <c r="G59" s="74"/>
      <c r="H59" s="68"/>
      <c r="I59" s="68"/>
      <c r="J59" s="72"/>
      <c r="K59" s="72"/>
      <c r="L59" s="68"/>
      <c r="M59" s="68"/>
      <c r="N59" s="68"/>
      <c r="O59" s="90"/>
    </row>
    <row r="60" spans="1:15" ht="15.75" customHeight="1" x14ac:dyDescent="0.25">
      <c r="A60" s="90"/>
      <c r="B60" s="90"/>
      <c r="C60" s="74"/>
      <c r="D60" s="75"/>
      <c r="E60" s="90"/>
      <c r="F60" s="74"/>
      <c r="G60" s="74"/>
      <c r="H60" s="90"/>
      <c r="I60" s="90"/>
      <c r="J60" s="74"/>
      <c r="K60" s="74"/>
      <c r="L60" s="130"/>
      <c r="M60" s="96"/>
      <c r="N60" s="90"/>
      <c r="O60" s="90"/>
    </row>
    <row r="61" spans="1:15" ht="15.75" customHeight="1" x14ac:dyDescent="0.25">
      <c r="A61" s="90"/>
      <c r="B61" s="90"/>
      <c r="C61" s="74"/>
      <c r="D61" s="75"/>
      <c r="E61" s="90"/>
      <c r="F61" s="74"/>
      <c r="G61" s="74"/>
      <c r="H61" s="90"/>
      <c r="I61" s="90"/>
      <c r="J61" s="74"/>
      <c r="K61" s="74"/>
      <c r="L61" s="130"/>
      <c r="M61" s="96"/>
      <c r="N61" s="90"/>
      <c r="O61" s="90"/>
    </row>
    <row r="62" spans="1:15" ht="15.75" customHeight="1" x14ac:dyDescent="0.25">
      <c r="A62" s="90"/>
      <c r="B62" s="90"/>
      <c r="C62" s="74"/>
      <c r="D62" s="75"/>
      <c r="E62" s="90"/>
      <c r="F62" s="74"/>
      <c r="G62" s="74"/>
      <c r="H62" s="90"/>
      <c r="I62" s="90"/>
      <c r="J62" s="74"/>
      <c r="K62" s="74"/>
      <c r="L62" s="130"/>
      <c r="M62" s="96"/>
      <c r="N62" s="90"/>
      <c r="O62" s="90"/>
    </row>
    <row r="63" spans="1:15" ht="15.75" customHeight="1" x14ac:dyDescent="0.25">
      <c r="C63" s="76"/>
      <c r="D63" s="77"/>
      <c r="L63" s="78"/>
    </row>
    <row r="64" spans="1:15" ht="15.75" customHeight="1" x14ac:dyDescent="0.25">
      <c r="C64" s="76"/>
      <c r="D64" s="77"/>
      <c r="L64" s="78"/>
    </row>
    <row r="65" spans="3:12" ht="15.75" customHeight="1" x14ac:dyDescent="0.25">
      <c r="C65" s="76"/>
      <c r="D65" s="77"/>
      <c r="L65" s="78"/>
    </row>
    <row r="66" spans="3:12" ht="15.75" customHeight="1" x14ac:dyDescent="0.25">
      <c r="C66" s="76"/>
      <c r="D66" s="77"/>
      <c r="L66" s="78"/>
    </row>
    <row r="67" spans="3:12" ht="15.75" customHeight="1" x14ac:dyDescent="0.25">
      <c r="C67" s="76"/>
      <c r="D67" s="77"/>
      <c r="L67" s="78"/>
    </row>
    <row r="68" spans="3:12" ht="15.75" customHeight="1" x14ac:dyDescent="0.25">
      <c r="C68" s="76"/>
      <c r="D68" s="77"/>
      <c r="L68" s="78"/>
    </row>
    <row r="69" spans="3:12" ht="15.75" customHeight="1" x14ac:dyDescent="0.25">
      <c r="C69" s="76"/>
      <c r="D69" s="77"/>
      <c r="L69" s="78"/>
    </row>
    <row r="70" spans="3:12" ht="15.75" customHeight="1" x14ac:dyDescent="0.25">
      <c r="C70" s="76"/>
      <c r="D70" s="77"/>
      <c r="L70" s="78"/>
    </row>
    <row r="71" spans="3:12" ht="15.75" customHeight="1" x14ac:dyDescent="0.25">
      <c r="C71" s="76"/>
      <c r="D71" s="77"/>
      <c r="L71" s="78"/>
    </row>
    <row r="72" spans="3:12" ht="15.75" customHeight="1" x14ac:dyDescent="0.25">
      <c r="C72" s="76"/>
      <c r="D72" s="77"/>
      <c r="L72" s="78"/>
    </row>
    <row r="73" spans="3:12" ht="15.75" customHeight="1" x14ac:dyDescent="0.25">
      <c r="C73" s="76"/>
      <c r="D73" s="77"/>
      <c r="L73" s="78"/>
    </row>
    <row r="74" spans="3:12" ht="15.75" customHeight="1" x14ac:dyDescent="0.25">
      <c r="C74" s="76"/>
      <c r="D74" s="77"/>
      <c r="L74" s="78"/>
    </row>
    <row r="75" spans="3:12" ht="15.75" customHeight="1" x14ac:dyDescent="0.25">
      <c r="C75" s="76"/>
      <c r="D75" s="77"/>
      <c r="L75" s="78"/>
    </row>
    <row r="76" spans="3:12" ht="15.75" customHeight="1" x14ac:dyDescent="0.25">
      <c r="C76" s="76"/>
      <c r="D76" s="77"/>
      <c r="L76" s="78"/>
    </row>
    <row r="77" spans="3:12" ht="15.75" customHeight="1" x14ac:dyDescent="0.25">
      <c r="C77" s="76"/>
      <c r="D77" s="77"/>
      <c r="L77" s="78"/>
    </row>
    <row r="78" spans="3:12" ht="15.75" customHeight="1" x14ac:dyDescent="0.25">
      <c r="C78" s="76"/>
      <c r="D78" s="77"/>
      <c r="L78" s="78"/>
    </row>
    <row r="79" spans="3:12" ht="15.75" customHeight="1" x14ac:dyDescent="0.25">
      <c r="C79" s="76"/>
      <c r="D79" s="77"/>
      <c r="L79" s="78"/>
    </row>
    <row r="80" spans="3:12" ht="15.75" customHeight="1" x14ac:dyDescent="0.25">
      <c r="C80" s="76"/>
      <c r="D80" s="77"/>
      <c r="L80" s="78"/>
    </row>
    <row r="81" spans="3:12" ht="15.75" customHeight="1" x14ac:dyDescent="0.25">
      <c r="C81" s="76"/>
      <c r="D81" s="77"/>
      <c r="L81" s="78"/>
    </row>
    <row r="82" spans="3:12" ht="15.75" customHeight="1" x14ac:dyDescent="0.25">
      <c r="C82" s="76"/>
      <c r="D82" s="77"/>
      <c r="L82" s="78"/>
    </row>
    <row r="83" spans="3:12" ht="15.75" customHeight="1" x14ac:dyDescent="0.25">
      <c r="C83" s="76"/>
      <c r="D83" s="77"/>
      <c r="L83" s="78"/>
    </row>
    <row r="84" spans="3:12" ht="15.75" customHeight="1" x14ac:dyDescent="0.25">
      <c r="C84" s="76"/>
      <c r="D84" s="77"/>
      <c r="L84" s="78"/>
    </row>
    <row r="85" spans="3:12" ht="15.75" customHeight="1" x14ac:dyDescent="0.25">
      <c r="C85" s="76"/>
      <c r="D85" s="77"/>
      <c r="L85" s="78"/>
    </row>
    <row r="86" spans="3:12" ht="15.75" customHeight="1" x14ac:dyDescent="0.25">
      <c r="C86" s="76"/>
      <c r="D86" s="77"/>
      <c r="L86" s="78"/>
    </row>
    <row r="87" spans="3:12" ht="15.75" customHeight="1" x14ac:dyDescent="0.25">
      <c r="C87" s="76"/>
      <c r="D87" s="77"/>
      <c r="L87" s="78"/>
    </row>
    <row r="88" spans="3:12" ht="15.75" customHeight="1" x14ac:dyDescent="0.25">
      <c r="C88" s="76"/>
      <c r="D88" s="77"/>
      <c r="L88" s="78"/>
    </row>
    <row r="89" spans="3:12" ht="15.75" customHeight="1" x14ac:dyDescent="0.25">
      <c r="C89" s="76"/>
      <c r="D89" s="77"/>
      <c r="L89" s="78"/>
    </row>
    <row r="90" spans="3:12" ht="15.75" customHeight="1" x14ac:dyDescent="0.25">
      <c r="C90" s="76"/>
      <c r="D90" s="77"/>
      <c r="L90" s="78"/>
    </row>
    <row r="91" spans="3:12" ht="15.75" customHeight="1" x14ac:dyDescent="0.25">
      <c r="C91" s="76"/>
      <c r="D91" s="77"/>
      <c r="L91" s="78"/>
    </row>
    <row r="92" spans="3:12" ht="15.75" customHeight="1" x14ac:dyDescent="0.25">
      <c r="C92" s="76"/>
      <c r="D92" s="77"/>
      <c r="L92" s="78"/>
    </row>
    <row r="93" spans="3:12" ht="15.75" customHeight="1" x14ac:dyDescent="0.25">
      <c r="C93" s="76"/>
      <c r="D93" s="77"/>
      <c r="L93" s="78"/>
    </row>
    <row r="94" spans="3:12" ht="15.75" customHeight="1" x14ac:dyDescent="0.25">
      <c r="C94" s="76"/>
      <c r="D94" s="77"/>
      <c r="L94" s="78"/>
    </row>
    <row r="95" spans="3:12" ht="15.75" customHeight="1" x14ac:dyDescent="0.25">
      <c r="C95" s="76"/>
      <c r="D95" s="77"/>
      <c r="L95" s="78"/>
    </row>
    <row r="96" spans="3:12" ht="15.75" customHeight="1" x14ac:dyDescent="0.25">
      <c r="C96" s="76"/>
      <c r="D96" s="77"/>
      <c r="L96" s="78"/>
    </row>
    <row r="97" spans="3:12" ht="15.75" customHeight="1" x14ac:dyDescent="0.25">
      <c r="C97" s="76"/>
      <c r="D97" s="77"/>
      <c r="L97" s="78"/>
    </row>
    <row r="98" spans="3:12" ht="15.75" customHeight="1" x14ac:dyDescent="0.25">
      <c r="C98" s="76"/>
      <c r="D98" s="77"/>
      <c r="L98" s="78"/>
    </row>
    <row r="99" spans="3:12" ht="15.75" customHeight="1" x14ac:dyDescent="0.25">
      <c r="C99" s="76"/>
      <c r="D99" s="77"/>
      <c r="L99" s="78"/>
    </row>
    <row r="100" spans="3:12" ht="15.75" customHeight="1" x14ac:dyDescent="0.25">
      <c r="C100" s="76"/>
      <c r="D100" s="77"/>
      <c r="L100" s="78"/>
    </row>
    <row r="101" spans="3:12" ht="15.75" customHeight="1" x14ac:dyDescent="0.25">
      <c r="C101" s="76"/>
      <c r="D101" s="77"/>
      <c r="L101" s="78"/>
    </row>
    <row r="102" spans="3:12" ht="15.75" customHeight="1" x14ac:dyDescent="0.25">
      <c r="C102" s="76"/>
      <c r="D102" s="77"/>
      <c r="L102" s="78"/>
    </row>
    <row r="103" spans="3:12" ht="15.75" customHeight="1" x14ac:dyDescent="0.25">
      <c r="C103" s="76"/>
      <c r="D103" s="77"/>
      <c r="L103" s="78"/>
    </row>
    <row r="104" spans="3:12" ht="15.75" customHeight="1" x14ac:dyDescent="0.25">
      <c r="C104" s="76"/>
      <c r="D104" s="77"/>
      <c r="L104" s="78"/>
    </row>
    <row r="105" spans="3:12" ht="15.75" customHeight="1" x14ac:dyDescent="0.25">
      <c r="C105" s="76"/>
      <c r="D105" s="77"/>
      <c r="L105" s="78"/>
    </row>
    <row r="106" spans="3:12" ht="15.75" customHeight="1" x14ac:dyDescent="0.25">
      <c r="C106" s="76"/>
      <c r="D106" s="77"/>
      <c r="L106" s="78"/>
    </row>
    <row r="107" spans="3:12" ht="15.75" customHeight="1" x14ac:dyDescent="0.25">
      <c r="C107" s="76"/>
      <c r="D107" s="77"/>
      <c r="L107" s="78"/>
    </row>
    <row r="108" spans="3:12" ht="15.75" customHeight="1" x14ac:dyDescent="0.25">
      <c r="C108" s="76"/>
      <c r="D108" s="77"/>
      <c r="L108" s="78"/>
    </row>
    <row r="109" spans="3:12" ht="15.75" customHeight="1" x14ac:dyDescent="0.25">
      <c r="C109" s="76"/>
      <c r="D109" s="77"/>
      <c r="L109" s="78"/>
    </row>
    <row r="110" spans="3:12" ht="15.75" customHeight="1" x14ac:dyDescent="0.25">
      <c r="C110" s="76"/>
      <c r="D110" s="77"/>
      <c r="L110" s="78"/>
    </row>
    <row r="111" spans="3:12" ht="15.75" customHeight="1" x14ac:dyDescent="0.25">
      <c r="C111" s="76"/>
      <c r="D111" s="77"/>
      <c r="L111" s="78"/>
    </row>
    <row r="112" spans="3:12" ht="15.75" customHeight="1" x14ac:dyDescent="0.25">
      <c r="C112" s="76"/>
      <c r="D112" s="77"/>
      <c r="L112" s="78"/>
    </row>
    <row r="113" spans="3:12" ht="15.75" customHeight="1" x14ac:dyDescent="0.25">
      <c r="C113" s="76"/>
      <c r="D113" s="77"/>
      <c r="L113" s="78"/>
    </row>
    <row r="114" spans="3:12" ht="15.75" customHeight="1" x14ac:dyDescent="0.25">
      <c r="C114" s="76"/>
      <c r="D114" s="77"/>
      <c r="L114" s="78"/>
    </row>
    <row r="115" spans="3:12" ht="15.75" customHeight="1" x14ac:dyDescent="0.25">
      <c r="C115" s="76"/>
      <c r="D115" s="77"/>
      <c r="L115" s="78"/>
    </row>
    <row r="116" spans="3:12" ht="15.75" customHeight="1" x14ac:dyDescent="0.25">
      <c r="C116" s="76"/>
      <c r="D116" s="77"/>
      <c r="L116" s="78"/>
    </row>
    <row r="117" spans="3:12" ht="15.75" customHeight="1" x14ac:dyDescent="0.25">
      <c r="C117" s="76"/>
      <c r="D117" s="77"/>
      <c r="L117" s="78"/>
    </row>
    <row r="118" spans="3:12" ht="15.75" customHeight="1" x14ac:dyDescent="0.25">
      <c r="C118" s="76"/>
      <c r="D118" s="77"/>
      <c r="L118" s="78"/>
    </row>
    <row r="119" spans="3:12" ht="15.75" customHeight="1" x14ac:dyDescent="0.25">
      <c r="C119" s="76"/>
      <c r="D119" s="77"/>
      <c r="L119" s="78"/>
    </row>
    <row r="120" spans="3:12" ht="15.75" customHeight="1" x14ac:dyDescent="0.25">
      <c r="C120" s="76"/>
      <c r="D120" s="77"/>
      <c r="L120" s="78"/>
    </row>
    <row r="121" spans="3:12" ht="15.75" customHeight="1" x14ac:dyDescent="0.25">
      <c r="C121" s="76"/>
      <c r="D121" s="77"/>
      <c r="L121" s="78"/>
    </row>
    <row r="122" spans="3:12" ht="15.75" customHeight="1" x14ac:dyDescent="0.25">
      <c r="C122" s="76"/>
      <c r="D122" s="77"/>
      <c r="L122" s="78"/>
    </row>
    <row r="123" spans="3:12" ht="15.75" customHeight="1" x14ac:dyDescent="0.25">
      <c r="C123" s="76"/>
      <c r="D123" s="77"/>
      <c r="L123" s="78"/>
    </row>
    <row r="124" spans="3:12" ht="15.75" customHeight="1" x14ac:dyDescent="0.25">
      <c r="C124" s="76"/>
      <c r="D124" s="77"/>
      <c r="L124" s="78"/>
    </row>
    <row r="125" spans="3:12" ht="15.75" customHeight="1" x14ac:dyDescent="0.25">
      <c r="C125" s="76"/>
      <c r="D125" s="77"/>
      <c r="L125" s="78"/>
    </row>
    <row r="126" spans="3:12" ht="15.75" customHeight="1" x14ac:dyDescent="0.25">
      <c r="C126" s="76"/>
      <c r="D126" s="77"/>
      <c r="L126" s="78"/>
    </row>
    <row r="127" spans="3:12" ht="15.75" customHeight="1" x14ac:dyDescent="0.25">
      <c r="C127" s="76"/>
      <c r="D127" s="77"/>
      <c r="L127" s="78"/>
    </row>
    <row r="128" spans="3:12" ht="15.75" customHeight="1" x14ac:dyDescent="0.25">
      <c r="C128" s="76"/>
      <c r="D128" s="77"/>
      <c r="L128" s="78"/>
    </row>
    <row r="129" spans="3:12" ht="15.75" customHeight="1" x14ac:dyDescent="0.25">
      <c r="C129" s="76"/>
      <c r="D129" s="77"/>
      <c r="L129" s="78"/>
    </row>
    <row r="130" spans="3:12" ht="15.75" customHeight="1" x14ac:dyDescent="0.25">
      <c r="C130" s="76"/>
      <c r="D130" s="77"/>
      <c r="L130" s="78"/>
    </row>
    <row r="131" spans="3:12" ht="15.75" customHeight="1" x14ac:dyDescent="0.25">
      <c r="C131" s="76"/>
      <c r="D131" s="77"/>
      <c r="L131" s="78"/>
    </row>
    <row r="132" spans="3:12" ht="15.75" customHeight="1" x14ac:dyDescent="0.25">
      <c r="C132" s="76"/>
      <c r="D132" s="77"/>
      <c r="L132" s="78"/>
    </row>
    <row r="133" spans="3:12" ht="15.75" customHeight="1" x14ac:dyDescent="0.25">
      <c r="C133" s="76"/>
      <c r="D133" s="77"/>
      <c r="L133" s="78"/>
    </row>
    <row r="134" spans="3:12" ht="15.75" customHeight="1" x14ac:dyDescent="0.25">
      <c r="C134" s="76"/>
      <c r="D134" s="77"/>
      <c r="L134" s="78"/>
    </row>
    <row r="135" spans="3:12" ht="15.75" customHeight="1" x14ac:dyDescent="0.25">
      <c r="C135" s="76"/>
      <c r="D135" s="77"/>
      <c r="L135" s="78"/>
    </row>
    <row r="136" spans="3:12" ht="15.75" customHeight="1" x14ac:dyDescent="0.25">
      <c r="C136" s="76"/>
      <c r="D136" s="77"/>
      <c r="L136" s="78"/>
    </row>
    <row r="137" spans="3:12" ht="15.75" customHeight="1" x14ac:dyDescent="0.25">
      <c r="C137" s="76"/>
      <c r="D137" s="77"/>
      <c r="L137" s="78"/>
    </row>
    <row r="138" spans="3:12" ht="15.75" customHeight="1" x14ac:dyDescent="0.25">
      <c r="C138" s="76"/>
      <c r="D138" s="77"/>
      <c r="L138" s="78"/>
    </row>
    <row r="139" spans="3:12" ht="15.75" customHeight="1" x14ac:dyDescent="0.25">
      <c r="C139" s="76"/>
      <c r="D139" s="77"/>
      <c r="L139" s="78"/>
    </row>
    <row r="140" spans="3:12" ht="15.75" customHeight="1" x14ac:dyDescent="0.25">
      <c r="C140" s="76"/>
      <c r="D140" s="77"/>
      <c r="L140" s="78"/>
    </row>
    <row r="141" spans="3:12" ht="15.75" customHeight="1" x14ac:dyDescent="0.25">
      <c r="C141" s="76"/>
      <c r="D141" s="77"/>
      <c r="L141" s="78"/>
    </row>
    <row r="142" spans="3:12" ht="15.75" customHeight="1" x14ac:dyDescent="0.25">
      <c r="C142" s="76"/>
      <c r="D142" s="77"/>
      <c r="L142" s="78"/>
    </row>
    <row r="143" spans="3:12" ht="15.75" customHeight="1" x14ac:dyDescent="0.25">
      <c r="C143" s="76"/>
      <c r="D143" s="77"/>
      <c r="L143" s="78"/>
    </row>
    <row r="144" spans="3:12" ht="15.75" customHeight="1" x14ac:dyDescent="0.25">
      <c r="C144" s="76"/>
      <c r="D144" s="77"/>
      <c r="L144" s="78"/>
    </row>
    <row r="145" spans="3:12" ht="15.75" customHeight="1" x14ac:dyDescent="0.25">
      <c r="C145" s="76"/>
      <c r="D145" s="77"/>
      <c r="L145" s="78"/>
    </row>
    <row r="146" spans="3:12" ht="15.75" customHeight="1" x14ac:dyDescent="0.25">
      <c r="C146" s="76"/>
      <c r="D146" s="77"/>
      <c r="L146" s="78"/>
    </row>
    <row r="147" spans="3:12" ht="15.75" customHeight="1" x14ac:dyDescent="0.25">
      <c r="C147" s="76"/>
      <c r="D147" s="77"/>
      <c r="L147" s="78"/>
    </row>
    <row r="148" spans="3:12" ht="15.75" customHeight="1" x14ac:dyDescent="0.25">
      <c r="C148" s="76"/>
      <c r="D148" s="77"/>
      <c r="L148" s="78"/>
    </row>
    <row r="149" spans="3:12" ht="15.75" customHeight="1" x14ac:dyDescent="0.25">
      <c r="C149" s="76"/>
      <c r="D149" s="77"/>
      <c r="L149" s="78"/>
    </row>
    <row r="150" spans="3:12" ht="15.75" customHeight="1" x14ac:dyDescent="0.25">
      <c r="C150" s="76"/>
      <c r="D150" s="77"/>
      <c r="L150" s="78"/>
    </row>
    <row r="151" spans="3:12" ht="15.75" customHeight="1" x14ac:dyDescent="0.25">
      <c r="C151" s="76"/>
      <c r="D151" s="77"/>
      <c r="L151" s="78"/>
    </row>
    <row r="152" spans="3:12" ht="15.75" customHeight="1" x14ac:dyDescent="0.25">
      <c r="C152" s="76"/>
      <c r="D152" s="77"/>
      <c r="L152" s="78"/>
    </row>
    <row r="153" spans="3:12" ht="15.75" customHeight="1" x14ac:dyDescent="0.25">
      <c r="C153" s="76"/>
      <c r="D153" s="77"/>
      <c r="L153" s="78"/>
    </row>
    <row r="154" spans="3:12" ht="15.75" customHeight="1" x14ac:dyDescent="0.25">
      <c r="C154" s="76"/>
      <c r="D154" s="77"/>
      <c r="L154" s="78"/>
    </row>
    <row r="155" spans="3:12" ht="15.75" customHeight="1" x14ac:dyDescent="0.25">
      <c r="C155" s="76"/>
      <c r="D155" s="77"/>
      <c r="L155" s="78"/>
    </row>
    <row r="156" spans="3:12" ht="15.75" customHeight="1" x14ac:dyDescent="0.25">
      <c r="C156" s="76"/>
      <c r="D156" s="77"/>
      <c r="L156" s="78"/>
    </row>
    <row r="157" spans="3:12" ht="15.75" customHeight="1" x14ac:dyDescent="0.25">
      <c r="C157" s="76"/>
      <c r="D157" s="77"/>
      <c r="L157" s="78"/>
    </row>
    <row r="158" spans="3:12" ht="15.75" customHeight="1" x14ac:dyDescent="0.25">
      <c r="C158" s="76"/>
      <c r="D158" s="77"/>
      <c r="L158" s="78"/>
    </row>
    <row r="159" spans="3:12" ht="15.75" customHeight="1" x14ac:dyDescent="0.25">
      <c r="C159" s="76"/>
      <c r="D159" s="77"/>
      <c r="L159" s="78"/>
    </row>
    <row r="160" spans="3:12" ht="15.75" customHeight="1" x14ac:dyDescent="0.25">
      <c r="C160" s="76"/>
      <c r="D160" s="77"/>
      <c r="L160" s="78"/>
    </row>
    <row r="161" spans="3:12" ht="15.75" customHeight="1" x14ac:dyDescent="0.25">
      <c r="C161" s="76"/>
      <c r="D161" s="77"/>
      <c r="L161" s="78"/>
    </row>
    <row r="162" spans="3:12" ht="15.75" customHeight="1" x14ac:dyDescent="0.25">
      <c r="C162" s="76"/>
      <c r="D162" s="77"/>
      <c r="L162" s="78"/>
    </row>
    <row r="163" spans="3:12" ht="15.75" customHeight="1" x14ac:dyDescent="0.25">
      <c r="C163" s="76"/>
      <c r="D163" s="77"/>
      <c r="L163" s="78"/>
    </row>
    <row r="164" spans="3:12" ht="15.75" customHeight="1" x14ac:dyDescent="0.25">
      <c r="C164" s="76"/>
      <c r="D164" s="77"/>
      <c r="L164" s="78"/>
    </row>
    <row r="165" spans="3:12" ht="15.75" customHeight="1" x14ac:dyDescent="0.25">
      <c r="C165" s="76"/>
      <c r="D165" s="77"/>
      <c r="L165" s="78"/>
    </row>
    <row r="166" spans="3:12" ht="15.75" customHeight="1" x14ac:dyDescent="0.25">
      <c r="C166" s="76"/>
      <c r="D166" s="77"/>
      <c r="L166" s="78"/>
    </row>
    <row r="167" spans="3:12" ht="15.75" customHeight="1" x14ac:dyDescent="0.25">
      <c r="C167" s="76"/>
      <c r="D167" s="77"/>
      <c r="L167" s="78"/>
    </row>
    <row r="168" spans="3:12" ht="15.75" customHeight="1" x14ac:dyDescent="0.25">
      <c r="C168" s="76"/>
      <c r="D168" s="77"/>
      <c r="L168" s="78"/>
    </row>
    <row r="169" spans="3:12" ht="15.75" customHeight="1" x14ac:dyDescent="0.25">
      <c r="C169" s="76"/>
      <c r="D169" s="77"/>
      <c r="L169" s="78"/>
    </row>
    <row r="170" spans="3:12" ht="15.75" customHeight="1" x14ac:dyDescent="0.25">
      <c r="C170" s="76"/>
      <c r="D170" s="77"/>
      <c r="L170" s="78"/>
    </row>
    <row r="171" spans="3:12" ht="15.75" customHeight="1" x14ac:dyDescent="0.25">
      <c r="C171" s="76"/>
      <c r="D171" s="77"/>
      <c r="L171" s="78"/>
    </row>
    <row r="172" spans="3:12" ht="15.75" customHeight="1" x14ac:dyDescent="0.25">
      <c r="C172" s="76"/>
      <c r="D172" s="77"/>
      <c r="L172" s="78"/>
    </row>
    <row r="173" spans="3:12" ht="15.75" customHeight="1" x14ac:dyDescent="0.25">
      <c r="C173" s="76"/>
      <c r="D173" s="77"/>
      <c r="L173" s="78"/>
    </row>
    <row r="174" spans="3:12" ht="15.75" customHeight="1" x14ac:dyDescent="0.25">
      <c r="C174" s="76"/>
      <c r="D174" s="77"/>
      <c r="L174" s="78"/>
    </row>
    <row r="175" spans="3:12" ht="15.75" customHeight="1" x14ac:dyDescent="0.25">
      <c r="C175" s="76"/>
      <c r="D175" s="77"/>
      <c r="L175" s="78"/>
    </row>
    <row r="176" spans="3:12" ht="15.75" customHeight="1" x14ac:dyDescent="0.25">
      <c r="C176" s="76"/>
      <c r="D176" s="77"/>
      <c r="L176" s="78"/>
    </row>
    <row r="177" spans="3:12" ht="15.75" customHeight="1" x14ac:dyDescent="0.25">
      <c r="C177" s="76"/>
      <c r="D177" s="77"/>
      <c r="L177" s="78"/>
    </row>
    <row r="178" spans="3:12" ht="15.75" customHeight="1" x14ac:dyDescent="0.25">
      <c r="C178" s="76"/>
      <c r="D178" s="77"/>
      <c r="L178" s="78"/>
    </row>
    <row r="179" spans="3:12" ht="15.75" customHeight="1" x14ac:dyDescent="0.25">
      <c r="C179" s="76"/>
      <c r="D179" s="77"/>
      <c r="L179" s="78"/>
    </row>
    <row r="180" spans="3:12" ht="15.75" customHeight="1" x14ac:dyDescent="0.25">
      <c r="C180" s="76"/>
      <c r="D180" s="77"/>
      <c r="L180" s="78"/>
    </row>
    <row r="181" spans="3:12" ht="15.75" customHeight="1" x14ac:dyDescent="0.25">
      <c r="C181" s="76"/>
      <c r="D181" s="77"/>
      <c r="L181" s="78"/>
    </row>
    <row r="182" spans="3:12" ht="15.75" customHeight="1" x14ac:dyDescent="0.25">
      <c r="C182" s="76"/>
      <c r="D182" s="77"/>
      <c r="L182" s="78"/>
    </row>
    <row r="183" spans="3:12" ht="15.75" customHeight="1" x14ac:dyDescent="0.25">
      <c r="C183" s="76"/>
      <c r="D183" s="77"/>
      <c r="L183" s="78"/>
    </row>
    <row r="184" spans="3:12" ht="15.75" customHeight="1" x14ac:dyDescent="0.25">
      <c r="C184" s="76"/>
      <c r="D184" s="77"/>
      <c r="L184" s="78"/>
    </row>
    <row r="185" spans="3:12" ht="15.75" customHeight="1" x14ac:dyDescent="0.25">
      <c r="C185" s="76"/>
      <c r="D185" s="77"/>
      <c r="L185" s="78"/>
    </row>
    <row r="186" spans="3:12" ht="15.75" customHeight="1" x14ac:dyDescent="0.25">
      <c r="C186" s="76"/>
      <c r="D186" s="77"/>
      <c r="L186" s="78"/>
    </row>
    <row r="187" spans="3:12" ht="15.75" customHeight="1" x14ac:dyDescent="0.25">
      <c r="C187" s="76"/>
      <c r="D187" s="77"/>
      <c r="L187" s="78"/>
    </row>
    <row r="188" spans="3:12" ht="15.75" customHeight="1" x14ac:dyDescent="0.25">
      <c r="C188" s="76"/>
      <c r="D188" s="77"/>
      <c r="L188" s="78"/>
    </row>
    <row r="189" spans="3:12" ht="15.75" customHeight="1" x14ac:dyDescent="0.25">
      <c r="C189" s="76"/>
      <c r="D189" s="77"/>
      <c r="L189" s="78"/>
    </row>
    <row r="190" spans="3:12" ht="15.75" customHeight="1" x14ac:dyDescent="0.25">
      <c r="C190" s="76"/>
      <c r="D190" s="77"/>
      <c r="L190" s="78"/>
    </row>
    <row r="191" spans="3:12" ht="15.75" customHeight="1" x14ac:dyDescent="0.25">
      <c r="C191" s="76"/>
      <c r="D191" s="77"/>
      <c r="L191" s="78"/>
    </row>
    <row r="192" spans="3:12" ht="15.75" customHeight="1" x14ac:dyDescent="0.25">
      <c r="C192" s="76"/>
      <c r="D192" s="77"/>
      <c r="L192" s="78"/>
    </row>
    <row r="193" spans="3:12" ht="15.75" customHeight="1" x14ac:dyDescent="0.25">
      <c r="C193" s="76"/>
      <c r="D193" s="77"/>
      <c r="L193" s="78"/>
    </row>
    <row r="194" spans="3:12" ht="15.75" customHeight="1" x14ac:dyDescent="0.25">
      <c r="C194" s="76"/>
      <c r="D194" s="77"/>
      <c r="L194" s="78"/>
    </row>
    <row r="195" spans="3:12" ht="15.75" customHeight="1" x14ac:dyDescent="0.25">
      <c r="C195" s="76"/>
      <c r="D195" s="77"/>
      <c r="L195" s="78"/>
    </row>
    <row r="196" spans="3:12" ht="15.75" customHeight="1" x14ac:dyDescent="0.25">
      <c r="C196" s="76"/>
      <c r="D196" s="77"/>
      <c r="L196" s="78"/>
    </row>
    <row r="197" spans="3:12" ht="15.75" customHeight="1" x14ac:dyDescent="0.25">
      <c r="C197" s="76"/>
      <c r="D197" s="77"/>
      <c r="L197" s="78"/>
    </row>
    <row r="198" spans="3:12" ht="15.75" customHeight="1" x14ac:dyDescent="0.25">
      <c r="C198" s="76"/>
      <c r="D198" s="77"/>
      <c r="L198" s="78"/>
    </row>
    <row r="199" spans="3:12" ht="15.75" customHeight="1" x14ac:dyDescent="0.25">
      <c r="C199" s="76"/>
      <c r="D199" s="77"/>
      <c r="L199" s="78"/>
    </row>
    <row r="200" spans="3:12" ht="15.75" customHeight="1" x14ac:dyDescent="0.25">
      <c r="C200" s="76"/>
      <c r="D200" s="77"/>
      <c r="L200" s="78"/>
    </row>
    <row r="201" spans="3:12" ht="15.75" customHeight="1" x14ac:dyDescent="0.25">
      <c r="C201" s="76"/>
      <c r="D201" s="77"/>
      <c r="L201" s="78"/>
    </row>
    <row r="202" spans="3:12" ht="15.75" customHeight="1" x14ac:dyDescent="0.25">
      <c r="C202" s="76"/>
      <c r="D202" s="77"/>
      <c r="L202" s="78"/>
    </row>
    <row r="203" spans="3:12" ht="15.75" customHeight="1" x14ac:dyDescent="0.25">
      <c r="C203" s="76"/>
      <c r="D203" s="77"/>
      <c r="L203" s="78"/>
    </row>
    <row r="204" spans="3:12" ht="15.75" customHeight="1" x14ac:dyDescent="0.25">
      <c r="C204" s="76"/>
      <c r="D204" s="77"/>
      <c r="L204" s="78"/>
    </row>
    <row r="205" spans="3:12" ht="15.75" customHeight="1" x14ac:dyDescent="0.25">
      <c r="C205" s="76"/>
      <c r="D205" s="77"/>
      <c r="L205" s="78"/>
    </row>
    <row r="206" spans="3:12" ht="15.75" customHeight="1" x14ac:dyDescent="0.25">
      <c r="C206" s="76"/>
      <c r="D206" s="77"/>
      <c r="L206" s="78"/>
    </row>
    <row r="207" spans="3:12" ht="15.75" customHeight="1" x14ac:dyDescent="0.25">
      <c r="C207" s="76"/>
      <c r="D207" s="77"/>
      <c r="L207" s="78"/>
    </row>
    <row r="208" spans="3:12" ht="15.75" customHeight="1" x14ac:dyDescent="0.25">
      <c r="C208" s="76"/>
      <c r="D208" s="77"/>
      <c r="L208" s="78"/>
    </row>
    <row r="209" spans="3:12" ht="15.75" customHeight="1" x14ac:dyDescent="0.25">
      <c r="C209" s="76"/>
      <c r="D209" s="77"/>
      <c r="L209" s="78"/>
    </row>
    <row r="210" spans="3:12" ht="15.75" customHeight="1" x14ac:dyDescent="0.25">
      <c r="C210" s="76"/>
      <c r="D210" s="77"/>
      <c r="L210" s="78"/>
    </row>
    <row r="211" spans="3:12" ht="15.75" customHeight="1" x14ac:dyDescent="0.25">
      <c r="C211" s="76"/>
      <c r="D211" s="77"/>
      <c r="L211" s="78"/>
    </row>
    <row r="212" spans="3:12" ht="15.75" customHeight="1" x14ac:dyDescent="0.25">
      <c r="C212" s="76"/>
      <c r="D212" s="77"/>
      <c r="L212" s="78"/>
    </row>
    <row r="213" spans="3:12" ht="15.75" customHeight="1" x14ac:dyDescent="0.25">
      <c r="C213" s="76"/>
      <c r="D213" s="77"/>
      <c r="L213" s="78"/>
    </row>
    <row r="214" spans="3:12" ht="15.75" customHeight="1" x14ac:dyDescent="0.25">
      <c r="C214" s="76"/>
      <c r="D214" s="77"/>
      <c r="L214" s="78"/>
    </row>
    <row r="215" spans="3:12" ht="15.75" customHeight="1" x14ac:dyDescent="0.25">
      <c r="C215" s="76"/>
      <c r="D215" s="77"/>
      <c r="L215" s="78"/>
    </row>
    <row r="216" spans="3:12" ht="15.75" customHeight="1" x14ac:dyDescent="0.25">
      <c r="C216" s="76"/>
      <c r="D216" s="77"/>
      <c r="L216" s="78"/>
    </row>
    <row r="217" spans="3:12" ht="15.75" customHeight="1" x14ac:dyDescent="0.25">
      <c r="C217" s="76"/>
      <c r="D217" s="77"/>
      <c r="L217" s="78"/>
    </row>
    <row r="218" spans="3:12" ht="15.75" customHeight="1" x14ac:dyDescent="0.25">
      <c r="C218" s="76"/>
      <c r="D218" s="77"/>
      <c r="L218" s="78"/>
    </row>
    <row r="219" spans="3:12" ht="15.75" customHeight="1" x14ac:dyDescent="0.25">
      <c r="C219" s="76"/>
      <c r="D219" s="77"/>
      <c r="L219" s="78"/>
    </row>
    <row r="220" spans="3:12" ht="15.75" customHeight="1" x14ac:dyDescent="0.25">
      <c r="C220" s="76"/>
      <c r="D220" s="77"/>
      <c r="L220" s="78"/>
    </row>
    <row r="221" spans="3:12" ht="15.75" customHeight="1" x14ac:dyDescent="0.25">
      <c r="C221" s="76"/>
      <c r="D221" s="77"/>
      <c r="L221" s="78"/>
    </row>
    <row r="222" spans="3:12" ht="15.75" customHeight="1" x14ac:dyDescent="0.25">
      <c r="C222" s="76"/>
      <c r="D222" s="77"/>
      <c r="L222" s="78"/>
    </row>
    <row r="223" spans="3:12" ht="15.75" customHeight="1" x14ac:dyDescent="0.25">
      <c r="C223" s="76"/>
      <c r="D223" s="77"/>
      <c r="L223" s="78"/>
    </row>
    <row r="224" spans="3:12" ht="15.75" customHeight="1" x14ac:dyDescent="0.25">
      <c r="C224" s="76"/>
      <c r="D224" s="77"/>
      <c r="L224" s="78"/>
    </row>
    <row r="225" spans="3:12" ht="15.75" customHeight="1" x14ac:dyDescent="0.25">
      <c r="C225" s="76"/>
      <c r="D225" s="77"/>
      <c r="L225" s="78"/>
    </row>
    <row r="226" spans="3:12" ht="15.75" customHeight="1" x14ac:dyDescent="0.25">
      <c r="C226" s="76"/>
      <c r="D226" s="77"/>
      <c r="L226" s="78"/>
    </row>
    <row r="227" spans="3:12" ht="15.75" customHeight="1" x14ac:dyDescent="0.25">
      <c r="C227" s="76"/>
      <c r="D227" s="77"/>
      <c r="L227" s="78"/>
    </row>
    <row r="228" spans="3:12" ht="15.75" customHeight="1" x14ac:dyDescent="0.25"/>
    <row r="229" spans="3:12" ht="15.75" customHeight="1" x14ac:dyDescent="0.25"/>
    <row r="230" spans="3:12" ht="15.75" customHeight="1" x14ac:dyDescent="0.25"/>
    <row r="231" spans="3:12" ht="15.75" customHeight="1" x14ac:dyDescent="0.25"/>
    <row r="232" spans="3:12" ht="15.75" customHeight="1" x14ac:dyDescent="0.25"/>
    <row r="233" spans="3:12" ht="15.75" customHeight="1" x14ac:dyDescent="0.25"/>
    <row r="234" spans="3:12" ht="15.75" customHeight="1" x14ac:dyDescent="0.25"/>
    <row r="235" spans="3:12" ht="15.75" customHeight="1" x14ac:dyDescent="0.25"/>
    <row r="236" spans="3:12" ht="15.75" customHeight="1" x14ac:dyDescent="0.25"/>
    <row r="237" spans="3:12" ht="15.75" customHeight="1" x14ac:dyDescent="0.25"/>
    <row r="238" spans="3:12" ht="15.75" customHeight="1" x14ac:dyDescent="0.25"/>
    <row r="239" spans="3:12" ht="15.75" customHeight="1" x14ac:dyDescent="0.25"/>
    <row r="240" spans="3:1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L62:M62"/>
    <mergeCell ref="C7:C14"/>
    <mergeCell ref="L20:L26"/>
    <mergeCell ref="L15:L18"/>
    <mergeCell ref="O15:O19"/>
    <mergeCell ref="L60:M60"/>
    <mergeCell ref="C20:C26"/>
    <mergeCell ref="L61:M61"/>
    <mergeCell ref="N5:N6"/>
    <mergeCell ref="C15:C18"/>
    <mergeCell ref="C3:M3"/>
    <mergeCell ref="L7:L14"/>
    <mergeCell ref="B5:B6"/>
    <mergeCell ref="I5:M5"/>
    <mergeCell ref="D5:D6"/>
    <mergeCell ref="E5:H5"/>
    <mergeCell ref="C5:C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47"/>
  <sheetViews>
    <sheetView workbookViewId="0"/>
  </sheetViews>
  <sheetFormatPr defaultColWidth="12.6640625" defaultRowHeight="15" customHeight="1" x14ac:dyDescent="0.25"/>
  <cols>
    <col min="1" max="1" width="12.6640625" style="86" customWidth="1"/>
    <col min="2" max="2" width="16.109375" style="86" customWidth="1"/>
    <col min="3" max="3" width="19.88671875" style="86" customWidth="1"/>
    <col min="4" max="4" width="37.33203125" style="86" customWidth="1"/>
    <col min="5" max="5" width="50.33203125" style="86" customWidth="1"/>
    <col min="6" max="6" width="48.6640625" style="86" customWidth="1"/>
    <col min="7" max="7" width="12.6640625" style="86" customWidth="1"/>
    <col min="8" max="8" width="16" style="86" customWidth="1"/>
  </cols>
  <sheetData>
    <row r="1" spans="1:26" ht="15.75" customHeight="1" x14ac:dyDescent="0.25">
      <c r="A1" s="82"/>
      <c r="B1" s="82"/>
      <c r="C1" s="79"/>
      <c r="D1" s="80"/>
      <c r="E1" s="80"/>
      <c r="F1" s="81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5.75" customHeight="1" x14ac:dyDescent="0.25">
      <c r="A2" s="82" t="s">
        <v>860</v>
      </c>
      <c r="B2" s="82"/>
      <c r="C2" s="79"/>
      <c r="D2" s="80"/>
      <c r="E2" s="80"/>
      <c r="F2" s="81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5.75" customHeight="1" x14ac:dyDescent="0.25">
      <c r="A3" s="82"/>
      <c r="B3" s="82"/>
      <c r="C3" s="79"/>
      <c r="D3" s="80"/>
      <c r="E3" s="80"/>
      <c r="F3" s="81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5.75" customHeight="1" x14ac:dyDescent="0.25">
      <c r="A4" s="82"/>
      <c r="B4" s="82"/>
      <c r="C4" s="79"/>
      <c r="D4" s="80"/>
      <c r="E4" s="80"/>
      <c r="F4" s="81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.75" customHeight="1" x14ac:dyDescent="0.25">
      <c r="A5" s="82"/>
      <c r="B5" s="82"/>
      <c r="C5" s="79"/>
      <c r="D5" s="80"/>
      <c r="E5" s="80"/>
      <c r="F5" s="81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25">
      <c r="A6" s="82"/>
      <c r="B6" s="82"/>
      <c r="C6" s="79"/>
      <c r="D6" s="80"/>
      <c r="E6" s="80"/>
      <c r="F6" s="81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25">
      <c r="A7" s="82"/>
      <c r="B7" s="82"/>
      <c r="C7" s="79"/>
      <c r="D7" s="80"/>
      <c r="E7" s="80"/>
      <c r="F7" s="81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25">
      <c r="A8" s="82"/>
      <c r="B8" s="82"/>
      <c r="C8" s="79"/>
      <c r="D8" s="80"/>
      <c r="E8" s="80"/>
      <c r="F8" s="81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25">
      <c r="A9" s="82"/>
      <c r="B9" s="82"/>
      <c r="C9" s="79"/>
      <c r="D9" s="80"/>
      <c r="E9" s="80"/>
      <c r="F9" s="81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25">
      <c r="A10" s="82"/>
      <c r="B10" s="82"/>
      <c r="C10" s="79"/>
      <c r="D10" s="80"/>
      <c r="E10" s="80"/>
      <c r="F10" s="81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25">
      <c r="A11" s="82"/>
      <c r="B11" s="82"/>
      <c r="C11" s="79"/>
      <c r="D11" s="80"/>
      <c r="E11" s="80"/>
      <c r="F11" s="81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25">
      <c r="A12" s="82"/>
      <c r="B12" s="82"/>
      <c r="C12" s="79"/>
      <c r="D12" s="80"/>
      <c r="E12" s="80"/>
      <c r="F12" s="81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25">
      <c r="A13" s="82"/>
      <c r="B13" s="82"/>
      <c r="C13" s="79"/>
      <c r="D13" s="80"/>
      <c r="E13" s="80"/>
      <c r="F13" s="81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25">
      <c r="A14" s="82"/>
      <c r="B14" s="82"/>
      <c r="C14" s="79"/>
      <c r="D14" s="80"/>
      <c r="E14" s="80"/>
      <c r="F14" s="81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25">
      <c r="A15" s="82"/>
      <c r="B15" s="82"/>
      <c r="C15" s="79"/>
      <c r="D15" s="80"/>
      <c r="E15" s="80"/>
      <c r="F15" s="81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25">
      <c r="A16" s="82"/>
      <c r="B16" s="82"/>
      <c r="C16" s="79"/>
      <c r="D16" s="80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25">
      <c r="A17" s="82"/>
      <c r="B17" s="82"/>
      <c r="C17" s="79"/>
      <c r="D17" s="80"/>
      <c r="E17" s="80"/>
      <c r="F17" s="81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25">
      <c r="A18" s="82"/>
      <c r="B18" s="82"/>
      <c r="C18" s="79"/>
      <c r="D18" s="80"/>
      <c r="E18" s="80"/>
      <c r="F18" s="81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25">
      <c r="A19" s="82"/>
      <c r="B19" s="82"/>
      <c r="C19" s="79"/>
      <c r="D19" s="80"/>
      <c r="E19" s="80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25">
      <c r="A20" s="82"/>
      <c r="B20" s="82"/>
      <c r="C20" s="79"/>
      <c r="D20" s="80"/>
      <c r="E20" s="80"/>
      <c r="F20" s="81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25">
      <c r="A21" s="82"/>
      <c r="B21" s="82"/>
      <c r="C21" s="79"/>
      <c r="D21" s="80"/>
      <c r="E21" s="80"/>
      <c r="F21" s="81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25">
      <c r="A22" s="82"/>
      <c r="B22" s="82"/>
      <c r="C22" s="79"/>
      <c r="D22" s="80"/>
      <c r="E22" s="80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25">
      <c r="A23" s="82"/>
      <c r="B23" s="82"/>
      <c r="C23" s="79"/>
      <c r="D23" s="80"/>
      <c r="E23" s="80"/>
      <c r="F23" s="81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25">
      <c r="A24" s="82"/>
      <c r="B24" s="82"/>
      <c r="C24" s="79"/>
      <c r="D24" s="80"/>
      <c r="E24" s="80"/>
      <c r="F24" s="81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25">
      <c r="A25" s="82"/>
      <c r="B25" s="82"/>
      <c r="C25" s="79"/>
      <c r="D25" s="80"/>
      <c r="E25" s="80"/>
      <c r="F25" s="81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25">
      <c r="A26" s="82"/>
      <c r="B26" s="82"/>
      <c r="C26" s="79"/>
      <c r="D26" s="80"/>
      <c r="E26" s="80"/>
      <c r="F26" s="81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25">
      <c r="A27" s="82"/>
      <c r="B27" s="82"/>
      <c r="C27" s="79"/>
      <c r="D27" s="80"/>
      <c r="E27" s="80"/>
      <c r="F27" s="81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25">
      <c r="A28" s="82"/>
      <c r="B28" s="82"/>
      <c r="C28" s="79"/>
      <c r="D28" s="80"/>
      <c r="E28" s="80"/>
      <c r="F28" s="81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25">
      <c r="A29" s="82"/>
      <c r="B29" s="82"/>
      <c r="C29" s="79"/>
      <c r="D29" s="80"/>
      <c r="E29" s="80"/>
      <c r="F29" s="81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25">
      <c r="A30" s="82"/>
      <c r="B30" s="82"/>
      <c r="C30" s="79"/>
      <c r="D30" s="80"/>
      <c r="E30" s="80"/>
      <c r="F30" s="81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25">
      <c r="A31" s="82"/>
      <c r="B31" s="82"/>
      <c r="C31" s="79"/>
      <c r="D31" s="80"/>
      <c r="E31" s="80"/>
      <c r="F31" s="81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25">
      <c r="A32" s="82"/>
      <c r="B32" s="82"/>
      <c r="C32" s="79"/>
      <c r="D32" s="80"/>
      <c r="E32" s="80"/>
      <c r="F32" s="81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25">
      <c r="A33" s="82"/>
      <c r="B33" s="82"/>
      <c r="C33" s="79"/>
      <c r="D33" s="80"/>
      <c r="E33" s="80"/>
      <c r="F33" s="81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25">
      <c r="A34" s="82"/>
      <c r="B34" s="82"/>
      <c r="C34" s="79"/>
      <c r="D34" s="80"/>
      <c r="E34" s="80"/>
      <c r="F34" s="81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25">
      <c r="A35" s="82"/>
      <c r="B35" s="82"/>
      <c r="C35" s="79"/>
      <c r="D35" s="80"/>
      <c r="E35" s="80"/>
      <c r="F35" s="81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25">
      <c r="A36" s="82"/>
      <c r="B36" s="82"/>
      <c r="C36" s="79"/>
      <c r="D36" s="80"/>
      <c r="E36" s="80"/>
      <c r="F36" s="81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25">
      <c r="A37" s="82"/>
      <c r="B37" s="82"/>
      <c r="C37" s="79"/>
      <c r="D37" s="80"/>
      <c r="E37" s="80"/>
      <c r="F37" s="81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25">
      <c r="A38" s="82"/>
      <c r="B38" s="82"/>
      <c r="C38" s="79"/>
      <c r="D38" s="80"/>
      <c r="E38" s="80"/>
      <c r="F38" s="81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25">
      <c r="A39" s="82"/>
      <c r="B39" s="82"/>
      <c r="C39" s="79"/>
      <c r="D39" s="80"/>
      <c r="E39" s="80"/>
      <c r="F39" s="81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25">
      <c r="A40" s="82"/>
      <c r="B40" s="82"/>
      <c r="C40" s="79"/>
      <c r="D40" s="80"/>
      <c r="E40" s="80"/>
      <c r="F40" s="81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25">
      <c r="A41" s="82"/>
      <c r="B41" s="82"/>
      <c r="C41" s="79"/>
      <c r="D41" s="80"/>
      <c r="E41" s="80"/>
      <c r="F41" s="81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25">
      <c r="A42" s="82"/>
      <c r="B42" s="82"/>
      <c r="C42" s="79"/>
      <c r="D42" s="80"/>
      <c r="E42" s="80"/>
      <c r="F42" s="81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25">
      <c r="A43" s="82"/>
      <c r="B43" s="82"/>
      <c r="C43" s="79"/>
      <c r="D43" s="80"/>
      <c r="E43" s="80"/>
      <c r="F43" s="81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25">
      <c r="A44" s="82" t="s">
        <v>861</v>
      </c>
      <c r="B44" s="82"/>
      <c r="C44" s="79"/>
      <c r="D44" s="80"/>
      <c r="E44" s="80"/>
      <c r="F44" s="81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25">
      <c r="A45" s="82"/>
      <c r="B45" s="82"/>
      <c r="C45" s="79"/>
      <c r="D45" s="80"/>
      <c r="E45" s="80"/>
      <c r="F45" s="81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25">
      <c r="A46" s="82"/>
      <c r="B46" s="82"/>
      <c r="C46" s="79"/>
      <c r="D46" s="80"/>
      <c r="E46" s="80"/>
      <c r="F46" s="81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25">
      <c r="A47" s="82"/>
      <c r="B47" s="82"/>
      <c r="C47" s="79"/>
      <c r="D47" s="80"/>
      <c r="E47" s="80"/>
      <c r="F47" s="81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25">
      <c r="A48" s="82"/>
      <c r="B48" s="82"/>
      <c r="C48" s="79"/>
      <c r="D48" s="80"/>
      <c r="E48" s="80"/>
      <c r="F48" s="81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25">
      <c r="A49" s="82"/>
      <c r="B49" s="82"/>
      <c r="C49" s="79"/>
      <c r="D49" s="80"/>
      <c r="E49" s="80"/>
      <c r="F49" s="81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25">
      <c r="A50" s="82"/>
      <c r="B50" s="82"/>
      <c r="C50" s="79"/>
      <c r="D50" s="80"/>
      <c r="E50" s="80"/>
      <c r="F50" s="81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25">
      <c r="A51" s="82"/>
      <c r="B51" s="82"/>
      <c r="C51" s="79"/>
      <c r="D51" s="80"/>
      <c r="E51" s="80"/>
      <c r="F51" s="81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25">
      <c r="A52" s="82"/>
      <c r="B52" s="82"/>
      <c r="C52" s="79"/>
      <c r="D52" s="80"/>
      <c r="E52" s="80"/>
      <c r="F52" s="81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25">
      <c r="A53" s="82"/>
      <c r="B53" s="82"/>
      <c r="C53" s="79"/>
      <c r="D53" s="80"/>
      <c r="E53" s="80"/>
      <c r="F53" s="81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25">
      <c r="A54" s="82"/>
      <c r="B54" s="82"/>
      <c r="C54" s="79"/>
      <c r="D54" s="80"/>
      <c r="E54" s="80"/>
      <c r="F54" s="81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25">
      <c r="A55" s="82"/>
      <c r="B55" s="82"/>
      <c r="C55" s="79"/>
      <c r="D55" s="80"/>
      <c r="E55" s="80"/>
      <c r="F55" s="81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25">
      <c r="A56" s="82"/>
      <c r="B56" s="82"/>
      <c r="C56" s="79"/>
      <c r="D56" s="80"/>
      <c r="E56" s="80"/>
      <c r="F56" s="81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25">
      <c r="A57" s="82"/>
      <c r="B57" s="82"/>
      <c r="C57" s="79"/>
      <c r="D57" s="80"/>
      <c r="E57" s="80"/>
      <c r="F57" s="81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25">
      <c r="A58" s="82"/>
      <c r="B58" s="82"/>
      <c r="C58" s="79"/>
      <c r="D58" s="80"/>
      <c r="E58" s="80"/>
      <c r="F58" s="81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25">
      <c r="A59" s="82"/>
      <c r="B59" s="82"/>
      <c r="C59" s="79"/>
      <c r="D59" s="80"/>
      <c r="E59" s="80"/>
      <c r="F59" s="81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25">
      <c r="A60" s="82"/>
      <c r="B60" s="82"/>
      <c r="C60" s="79"/>
      <c r="D60" s="80"/>
      <c r="E60" s="80"/>
      <c r="F60" s="81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25">
      <c r="A61" s="82"/>
      <c r="B61" s="82"/>
      <c r="C61" s="79"/>
      <c r="D61" s="80"/>
      <c r="E61" s="80"/>
      <c r="F61" s="81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25">
      <c r="A62" s="82"/>
      <c r="B62" s="82"/>
      <c r="C62" s="79"/>
      <c r="D62" s="80"/>
      <c r="E62" s="80"/>
      <c r="F62" s="81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25">
      <c r="A63" s="82"/>
      <c r="B63" s="82"/>
      <c r="C63" s="79"/>
      <c r="D63" s="80"/>
      <c r="E63" s="80"/>
      <c r="F63" s="81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25">
      <c r="A64" s="82"/>
      <c r="B64" s="82"/>
      <c r="C64" s="79"/>
      <c r="D64" s="80"/>
      <c r="E64" s="80"/>
      <c r="F64" s="81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25">
      <c r="A65" s="82"/>
      <c r="B65" s="82"/>
      <c r="C65" s="79"/>
      <c r="D65" s="80"/>
      <c r="E65" s="80"/>
      <c r="F65" s="81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25">
      <c r="A66" s="82"/>
      <c r="B66" s="82"/>
      <c r="C66" s="79"/>
      <c r="D66" s="80"/>
      <c r="E66" s="80"/>
      <c r="F66" s="81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25">
      <c r="A67" s="82"/>
      <c r="B67" s="82"/>
      <c r="C67" s="79"/>
      <c r="D67" s="80"/>
      <c r="E67" s="80"/>
      <c r="F67" s="81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25">
      <c r="A68" s="82"/>
      <c r="B68" s="82"/>
      <c r="C68" s="79"/>
      <c r="D68" s="80"/>
      <c r="E68" s="80"/>
      <c r="F68" s="81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25">
      <c r="A69" s="82"/>
      <c r="B69" s="82"/>
      <c r="C69" s="79"/>
      <c r="D69" s="80"/>
      <c r="E69" s="80"/>
      <c r="F69" s="81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25">
      <c r="A70" s="82"/>
      <c r="B70" s="82"/>
      <c r="C70" s="79"/>
      <c r="D70" s="80"/>
      <c r="E70" s="80"/>
      <c r="F70" s="81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25">
      <c r="A71" s="82"/>
      <c r="B71" s="82"/>
      <c r="C71" s="79"/>
      <c r="D71" s="80"/>
      <c r="E71" s="80"/>
      <c r="F71" s="81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25">
      <c r="A72" s="82"/>
      <c r="B72" s="82"/>
      <c r="C72" s="79"/>
      <c r="D72" s="80"/>
      <c r="E72" s="80"/>
      <c r="F72" s="81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25">
      <c r="A73" s="82"/>
      <c r="B73" s="82"/>
      <c r="C73" s="79"/>
      <c r="D73" s="80"/>
      <c r="E73" s="80"/>
      <c r="F73" s="81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25">
      <c r="A74" s="82"/>
      <c r="B74" s="82"/>
      <c r="C74" s="79"/>
      <c r="D74" s="80"/>
      <c r="E74" s="80"/>
      <c r="F74" s="81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25">
      <c r="A75" s="82"/>
      <c r="B75" s="82"/>
      <c r="C75" s="79"/>
      <c r="D75" s="80"/>
      <c r="E75" s="80"/>
      <c r="F75" s="81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25">
      <c r="A76" s="82"/>
      <c r="B76" s="82"/>
      <c r="C76" s="79"/>
      <c r="D76" s="80"/>
      <c r="E76" s="80"/>
      <c r="F76" s="81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25">
      <c r="A77" s="82"/>
      <c r="B77" s="82"/>
      <c r="C77" s="79"/>
      <c r="D77" s="80"/>
      <c r="E77" s="80"/>
      <c r="F77" s="81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25">
      <c r="A78" s="82"/>
      <c r="B78" s="82"/>
      <c r="C78" s="79"/>
      <c r="D78" s="80"/>
      <c r="E78" s="80"/>
      <c r="F78" s="81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25">
      <c r="A79" s="82"/>
      <c r="B79" s="82"/>
      <c r="C79" s="79"/>
      <c r="D79" s="80"/>
      <c r="E79" s="80"/>
      <c r="F79" s="81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25">
      <c r="A80" s="82"/>
      <c r="B80" s="82"/>
      <c r="C80" s="79"/>
      <c r="D80" s="80"/>
      <c r="E80" s="80"/>
      <c r="F80" s="81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25">
      <c r="A81" s="82"/>
      <c r="B81" s="82"/>
      <c r="C81" s="79"/>
      <c r="D81" s="80"/>
      <c r="E81" s="80"/>
      <c r="F81" s="81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25">
      <c r="A82" s="82"/>
      <c r="B82" s="82"/>
      <c r="C82" s="79"/>
      <c r="D82" s="80"/>
      <c r="E82" s="80"/>
      <c r="F82" s="81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25">
      <c r="A83" s="82"/>
      <c r="B83" s="82"/>
      <c r="C83" s="79"/>
      <c r="D83" s="80"/>
      <c r="E83" s="80"/>
      <c r="F83" s="81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25">
      <c r="A84" s="82"/>
      <c r="B84" s="82"/>
      <c r="C84" s="79"/>
      <c r="D84" s="80"/>
      <c r="E84" s="80"/>
      <c r="F84" s="81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25">
      <c r="A85" s="82"/>
      <c r="B85" s="82"/>
      <c r="C85" s="79"/>
      <c r="D85" s="80"/>
      <c r="E85" s="80"/>
      <c r="F85" s="81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25">
      <c r="A86" s="82"/>
      <c r="B86" s="82"/>
      <c r="C86" s="79"/>
      <c r="D86" s="80"/>
      <c r="E86" s="80"/>
      <c r="F86" s="81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25">
      <c r="A87" s="82"/>
      <c r="B87" s="82"/>
      <c r="C87" s="79"/>
      <c r="D87" s="80"/>
      <c r="E87" s="80"/>
      <c r="F87" s="81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25">
      <c r="A88" s="82"/>
      <c r="B88" s="82"/>
      <c r="C88" s="79"/>
      <c r="D88" s="80"/>
      <c r="E88" s="80"/>
      <c r="F88" s="81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25">
      <c r="A89" s="82" t="s">
        <v>862</v>
      </c>
      <c r="B89" s="82"/>
      <c r="C89" s="79"/>
      <c r="D89" s="80"/>
      <c r="E89" s="80"/>
      <c r="F89" s="81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25">
      <c r="A90" s="82"/>
      <c r="B90" s="82"/>
      <c r="C90" s="79"/>
      <c r="D90" s="80"/>
      <c r="E90" s="80"/>
      <c r="F90" s="81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25">
      <c r="A91" s="82"/>
      <c r="B91" s="82"/>
      <c r="C91" s="79"/>
      <c r="D91" s="80"/>
      <c r="E91" s="80"/>
      <c r="F91" s="81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25">
      <c r="A92" s="82"/>
      <c r="B92" s="82"/>
      <c r="C92" s="79"/>
      <c r="D92" s="80"/>
      <c r="E92" s="80"/>
      <c r="F92" s="81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25">
      <c r="A93" s="82"/>
      <c r="B93" s="82"/>
      <c r="C93" s="79"/>
      <c r="D93" s="80"/>
      <c r="E93" s="80"/>
      <c r="F93" s="81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25">
      <c r="A94" s="82"/>
      <c r="B94" s="82"/>
      <c r="C94" s="79"/>
      <c r="D94" s="80"/>
      <c r="E94" s="80"/>
      <c r="F94" s="81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25">
      <c r="A95" s="82"/>
      <c r="B95" s="82"/>
      <c r="C95" s="79"/>
      <c r="D95" s="80"/>
      <c r="E95" s="80"/>
      <c r="F95" s="81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25">
      <c r="A96" s="82"/>
      <c r="B96" s="82"/>
      <c r="C96" s="79"/>
      <c r="D96" s="80"/>
      <c r="E96" s="80"/>
      <c r="F96" s="81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25">
      <c r="A97" s="82"/>
      <c r="B97" s="82"/>
      <c r="C97" s="79"/>
      <c r="D97" s="80"/>
      <c r="E97" s="80"/>
      <c r="F97" s="81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25">
      <c r="A98" s="82"/>
      <c r="B98" s="82"/>
      <c r="C98" s="79"/>
      <c r="D98" s="80"/>
      <c r="E98" s="80"/>
      <c r="F98" s="81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25">
      <c r="A99" s="82"/>
      <c r="B99" s="82"/>
      <c r="C99" s="79"/>
      <c r="D99" s="80"/>
      <c r="E99" s="80"/>
      <c r="F99" s="81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25">
      <c r="A100" s="82"/>
      <c r="B100" s="82"/>
      <c r="C100" s="79"/>
      <c r="D100" s="80"/>
      <c r="E100" s="80"/>
      <c r="F100" s="81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25">
      <c r="A101" s="82"/>
      <c r="B101" s="82"/>
      <c r="C101" s="79"/>
      <c r="D101" s="80"/>
      <c r="E101" s="80"/>
      <c r="F101" s="81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25">
      <c r="A102" s="82"/>
      <c r="B102" s="82"/>
      <c r="C102" s="79"/>
      <c r="D102" s="80"/>
      <c r="E102" s="80"/>
      <c r="F102" s="81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25">
      <c r="A103" s="82"/>
      <c r="B103" s="82"/>
      <c r="C103" s="79"/>
      <c r="D103" s="80"/>
      <c r="E103" s="80"/>
      <c r="F103" s="81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25">
      <c r="A104" s="82"/>
      <c r="B104" s="82"/>
      <c r="C104" s="79"/>
      <c r="D104" s="80"/>
      <c r="E104" s="80"/>
      <c r="F104" s="81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25">
      <c r="A105" s="82"/>
      <c r="B105" s="82"/>
      <c r="C105" s="79"/>
      <c r="D105" s="80"/>
      <c r="E105" s="80"/>
      <c r="F105" s="81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25">
      <c r="A106" s="82"/>
      <c r="B106" s="82"/>
      <c r="C106" s="79"/>
      <c r="D106" s="80"/>
      <c r="E106" s="80"/>
      <c r="F106" s="81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25">
      <c r="A107" s="82"/>
      <c r="B107" s="82"/>
      <c r="C107" s="79"/>
      <c r="D107" s="80"/>
      <c r="E107" s="80"/>
      <c r="F107" s="81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25">
      <c r="A108" s="82"/>
      <c r="B108" s="82"/>
      <c r="C108" s="79"/>
      <c r="D108" s="80"/>
      <c r="E108" s="80"/>
      <c r="F108" s="81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25">
      <c r="A109" s="82"/>
      <c r="B109" s="82"/>
      <c r="C109" s="79"/>
      <c r="D109" s="80"/>
      <c r="E109" s="80"/>
      <c r="F109" s="81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25">
      <c r="A110" s="82"/>
      <c r="B110" s="82"/>
      <c r="C110" s="79"/>
      <c r="D110" s="80"/>
      <c r="E110" s="80"/>
      <c r="F110" s="81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25">
      <c r="A111" s="82"/>
      <c r="B111" s="82"/>
      <c r="C111" s="79"/>
      <c r="D111" s="80"/>
      <c r="E111" s="80"/>
      <c r="F111" s="81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25">
      <c r="A112" s="82"/>
      <c r="B112" s="82"/>
      <c r="C112" s="79"/>
      <c r="D112" s="80"/>
      <c r="E112" s="80"/>
      <c r="F112" s="81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25">
      <c r="A113" s="82"/>
      <c r="B113" s="82"/>
      <c r="C113" s="79"/>
      <c r="D113" s="80"/>
      <c r="E113" s="80"/>
      <c r="F113" s="81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25">
      <c r="A114" s="82"/>
      <c r="B114" s="82"/>
      <c r="C114" s="79"/>
      <c r="D114" s="80"/>
      <c r="E114" s="80"/>
      <c r="F114" s="81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25">
      <c r="A115" s="82"/>
      <c r="B115" s="82"/>
      <c r="C115" s="79"/>
      <c r="D115" s="80"/>
      <c r="E115" s="80"/>
      <c r="F115" s="81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25">
      <c r="A116" s="82"/>
      <c r="B116" s="82"/>
      <c r="C116" s="79"/>
      <c r="D116" s="80"/>
      <c r="E116" s="80"/>
      <c r="F116" s="81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25">
      <c r="A117" s="82"/>
      <c r="B117" s="82"/>
      <c r="C117" s="79"/>
      <c r="D117" s="80"/>
      <c r="E117" s="80"/>
      <c r="F117" s="81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25">
      <c r="A118" s="82"/>
      <c r="B118" s="82"/>
      <c r="C118" s="79"/>
      <c r="D118" s="80"/>
      <c r="E118" s="80"/>
      <c r="F118" s="81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25">
      <c r="A119" s="82"/>
      <c r="B119" s="82"/>
      <c r="C119" s="79"/>
      <c r="D119" s="80"/>
      <c r="E119" s="80"/>
      <c r="F119" s="81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25">
      <c r="A120" s="82"/>
      <c r="B120" s="82"/>
      <c r="C120" s="79"/>
      <c r="D120" s="80"/>
      <c r="E120" s="80"/>
      <c r="F120" s="81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25">
      <c r="A121" s="82"/>
      <c r="B121" s="82"/>
      <c r="C121" s="79"/>
      <c r="D121" s="80"/>
      <c r="E121" s="80"/>
      <c r="F121" s="81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25">
      <c r="A122" s="82"/>
      <c r="B122" s="82"/>
      <c r="C122" s="79"/>
      <c r="D122" s="80"/>
      <c r="E122" s="80"/>
      <c r="F122" s="81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25">
      <c r="A123" s="82"/>
      <c r="B123" s="82"/>
      <c r="C123" s="79"/>
      <c r="D123" s="80"/>
      <c r="E123" s="80"/>
      <c r="F123" s="81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25">
      <c r="A124" s="82"/>
      <c r="B124" s="82"/>
      <c r="C124" s="79"/>
      <c r="D124" s="80"/>
      <c r="E124" s="80"/>
      <c r="F124" s="81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25">
      <c r="A125" s="82"/>
      <c r="B125" s="82"/>
      <c r="C125" s="79"/>
      <c r="D125" s="80"/>
      <c r="E125" s="80"/>
      <c r="F125" s="81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25">
      <c r="A126" s="82"/>
      <c r="B126" s="82"/>
      <c r="C126" s="79"/>
      <c r="D126" s="80"/>
      <c r="E126" s="80"/>
      <c r="F126" s="81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25">
      <c r="A127" s="82" t="s">
        <v>863</v>
      </c>
      <c r="B127" s="82"/>
      <c r="C127" s="79"/>
      <c r="D127" s="80"/>
      <c r="E127" s="80"/>
      <c r="F127" s="81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25">
      <c r="A128" s="82"/>
      <c r="B128" s="82"/>
      <c r="C128" s="79"/>
      <c r="D128" s="80"/>
      <c r="E128" s="80"/>
      <c r="F128" s="81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25">
      <c r="A129" s="82"/>
      <c r="B129" s="82"/>
      <c r="C129" s="79"/>
      <c r="D129" s="80"/>
      <c r="E129" s="80"/>
      <c r="F129" s="81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25">
      <c r="A130" s="82"/>
      <c r="B130" s="82"/>
      <c r="C130" s="79"/>
      <c r="D130" s="80"/>
      <c r="E130" s="80"/>
      <c r="F130" s="81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25">
      <c r="A131" s="82"/>
      <c r="B131" s="82"/>
      <c r="C131" s="79"/>
      <c r="D131" s="80"/>
      <c r="E131" s="80"/>
      <c r="F131" s="81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25">
      <c r="A132" s="82"/>
      <c r="B132" s="82"/>
      <c r="C132" s="79"/>
      <c r="D132" s="80"/>
      <c r="E132" s="80"/>
      <c r="F132" s="81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25">
      <c r="A133" s="82"/>
      <c r="B133" s="82"/>
      <c r="C133" s="79"/>
      <c r="D133" s="80"/>
      <c r="E133" s="80"/>
      <c r="F133" s="81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25">
      <c r="A134" s="82"/>
      <c r="B134" s="82"/>
      <c r="C134" s="79"/>
      <c r="D134" s="80"/>
      <c r="E134" s="80"/>
      <c r="F134" s="81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25">
      <c r="A135" s="82"/>
      <c r="B135" s="82"/>
      <c r="C135" s="79"/>
      <c r="D135" s="80"/>
      <c r="E135" s="80"/>
      <c r="F135" s="81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25">
      <c r="A136" s="82"/>
      <c r="B136" s="82"/>
      <c r="C136" s="79"/>
      <c r="D136" s="80"/>
      <c r="E136" s="80"/>
      <c r="F136" s="81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25">
      <c r="A137" s="82"/>
      <c r="B137" s="82"/>
      <c r="C137" s="79"/>
      <c r="D137" s="80"/>
      <c r="E137" s="80"/>
      <c r="F137" s="81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25">
      <c r="A138" s="82"/>
      <c r="B138" s="82"/>
      <c r="C138" s="79"/>
      <c r="D138" s="80"/>
      <c r="E138" s="80"/>
      <c r="F138" s="81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25">
      <c r="A139" s="82"/>
      <c r="B139" s="82"/>
      <c r="C139" s="79"/>
      <c r="D139" s="80"/>
      <c r="E139" s="80"/>
      <c r="F139" s="81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25">
      <c r="A140" s="82"/>
      <c r="B140" s="82"/>
      <c r="C140" s="79"/>
      <c r="D140" s="80"/>
      <c r="E140" s="80"/>
      <c r="F140" s="81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25">
      <c r="A141" s="82"/>
      <c r="B141" s="82"/>
      <c r="C141" s="79"/>
      <c r="D141" s="80"/>
      <c r="E141" s="80"/>
      <c r="F141" s="81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25">
      <c r="A142" s="82"/>
      <c r="B142" s="82"/>
      <c r="C142" s="79"/>
      <c r="D142" s="80"/>
      <c r="E142" s="80"/>
      <c r="F142" s="81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25">
      <c r="A143" s="82"/>
      <c r="B143" s="82"/>
      <c r="C143" s="79"/>
      <c r="D143" s="80"/>
      <c r="E143" s="80"/>
      <c r="F143" s="81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25">
      <c r="A144" s="82"/>
      <c r="B144" s="82"/>
      <c r="C144" s="79"/>
      <c r="D144" s="80"/>
      <c r="E144" s="80"/>
      <c r="F144" s="81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25">
      <c r="A145" s="82"/>
      <c r="B145" s="82"/>
      <c r="C145" s="79"/>
      <c r="D145" s="80"/>
      <c r="E145" s="80"/>
      <c r="F145" s="81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25">
      <c r="A146" s="82"/>
      <c r="B146" s="82"/>
      <c r="C146" s="79"/>
      <c r="D146" s="80"/>
      <c r="E146" s="80"/>
      <c r="F146" s="81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25">
      <c r="A147" s="82"/>
      <c r="B147" s="82"/>
      <c r="C147" s="79"/>
      <c r="D147" s="80"/>
      <c r="E147" s="80"/>
      <c r="F147" s="81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25">
      <c r="A148" s="82"/>
      <c r="B148" s="82"/>
      <c r="C148" s="79"/>
      <c r="D148" s="80"/>
      <c r="E148" s="80"/>
      <c r="F148" s="81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25">
      <c r="A149" s="82"/>
      <c r="B149" s="82"/>
      <c r="C149" s="79"/>
      <c r="D149" s="80"/>
      <c r="E149" s="80"/>
      <c r="F149" s="81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25">
      <c r="A150" s="82"/>
      <c r="B150" s="82"/>
      <c r="C150" s="79"/>
      <c r="D150" s="80"/>
      <c r="E150" s="80"/>
      <c r="F150" s="81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25">
      <c r="A151" s="82"/>
      <c r="B151" s="82"/>
      <c r="C151" s="79"/>
      <c r="D151" s="80"/>
      <c r="E151" s="80"/>
      <c r="F151" s="81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25">
      <c r="A152" s="82"/>
      <c r="B152" s="82"/>
      <c r="C152" s="79"/>
      <c r="D152" s="80"/>
      <c r="E152" s="80"/>
      <c r="F152" s="81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25">
      <c r="A153" s="82"/>
      <c r="B153" s="82"/>
      <c r="C153" s="79"/>
      <c r="D153" s="80"/>
      <c r="E153" s="80"/>
      <c r="F153" s="81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25">
      <c r="A154" s="82"/>
      <c r="B154" s="82"/>
      <c r="C154" s="79"/>
      <c r="D154" s="80"/>
      <c r="E154" s="80"/>
      <c r="F154" s="81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25">
      <c r="A155" s="82"/>
      <c r="B155" s="82"/>
      <c r="C155" s="79"/>
      <c r="D155" s="80"/>
      <c r="E155" s="80"/>
      <c r="F155" s="81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25">
      <c r="A156" s="82"/>
      <c r="B156" s="82"/>
      <c r="C156" s="79"/>
      <c r="D156" s="80"/>
      <c r="E156" s="80"/>
      <c r="F156" s="81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25">
      <c r="A157" s="82"/>
      <c r="B157" s="82"/>
      <c r="C157" s="79"/>
      <c r="D157" s="80"/>
      <c r="E157" s="80"/>
      <c r="F157" s="81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25">
      <c r="A158" s="82"/>
      <c r="B158" s="82"/>
      <c r="C158" s="79"/>
      <c r="D158" s="80"/>
      <c r="E158" s="80"/>
      <c r="F158" s="81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25">
      <c r="A159" s="82"/>
      <c r="B159" s="82"/>
      <c r="C159" s="79"/>
      <c r="D159" s="80"/>
      <c r="E159" s="80"/>
      <c r="F159" s="81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25">
      <c r="A160" s="82"/>
      <c r="B160" s="82"/>
      <c r="C160" s="79"/>
      <c r="D160" s="80"/>
      <c r="E160" s="80"/>
      <c r="F160" s="81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25">
      <c r="A161" s="82"/>
      <c r="B161" s="82"/>
      <c r="C161" s="79"/>
      <c r="D161" s="80"/>
      <c r="E161" s="80"/>
      <c r="F161" s="81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25">
      <c r="A162" s="82"/>
      <c r="B162" s="82"/>
      <c r="C162" s="79"/>
      <c r="D162" s="80"/>
      <c r="E162" s="80"/>
      <c r="F162" s="81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25">
      <c r="A163" s="82"/>
      <c r="B163" s="82"/>
      <c r="C163" s="79"/>
      <c r="D163" s="80"/>
      <c r="E163" s="80"/>
      <c r="F163" s="81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25">
      <c r="A164" s="82"/>
      <c r="B164" s="82"/>
      <c r="C164" s="79"/>
      <c r="D164" s="80"/>
      <c r="E164" s="80"/>
      <c r="F164" s="81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25">
      <c r="A165" s="82"/>
      <c r="B165" s="82"/>
      <c r="C165" s="79"/>
      <c r="D165" s="80"/>
      <c r="E165" s="80"/>
      <c r="F165" s="81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25">
      <c r="A166" s="82"/>
      <c r="B166" s="82"/>
      <c r="C166" s="79"/>
      <c r="D166" s="80"/>
      <c r="E166" s="80"/>
      <c r="F166" s="81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25">
      <c r="A167" s="82" t="s">
        <v>864</v>
      </c>
      <c r="B167" s="82"/>
      <c r="C167" s="79"/>
      <c r="D167" s="80"/>
      <c r="E167" s="80"/>
      <c r="F167" s="81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25">
      <c r="A168" s="82"/>
      <c r="B168" s="82"/>
      <c r="C168" s="79"/>
      <c r="D168" s="80"/>
      <c r="E168" s="80"/>
      <c r="F168" s="81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25">
      <c r="A169" s="82"/>
      <c r="B169" s="82"/>
      <c r="C169" s="79"/>
      <c r="D169" s="80"/>
      <c r="E169" s="80"/>
      <c r="F169" s="81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25">
      <c r="A170" s="82"/>
      <c r="B170" s="82"/>
      <c r="C170" s="79"/>
      <c r="D170" s="80"/>
      <c r="E170" s="80"/>
      <c r="F170" s="81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25">
      <c r="A171" s="82"/>
      <c r="B171" s="82"/>
      <c r="C171" s="79"/>
      <c r="D171" s="80"/>
      <c r="E171" s="80"/>
      <c r="F171" s="81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25">
      <c r="A172" s="82"/>
      <c r="B172" s="82"/>
      <c r="C172" s="79"/>
      <c r="D172" s="80"/>
      <c r="E172" s="80"/>
      <c r="F172" s="81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25">
      <c r="A173" s="82"/>
      <c r="B173" s="82"/>
      <c r="C173" s="79"/>
      <c r="D173" s="80"/>
      <c r="E173" s="80"/>
      <c r="F173" s="81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25">
      <c r="A174" s="82"/>
      <c r="B174" s="82"/>
      <c r="C174" s="79"/>
      <c r="D174" s="80"/>
      <c r="E174" s="80"/>
      <c r="F174" s="81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25">
      <c r="A175" s="82"/>
      <c r="B175" s="82"/>
      <c r="C175" s="79"/>
      <c r="D175" s="80"/>
      <c r="E175" s="80"/>
      <c r="F175" s="81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25">
      <c r="A176" s="82"/>
      <c r="B176" s="82"/>
      <c r="C176" s="79"/>
      <c r="D176" s="80"/>
      <c r="E176" s="80"/>
      <c r="F176" s="81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25">
      <c r="A177" s="82"/>
      <c r="B177" s="82"/>
      <c r="C177" s="79"/>
      <c r="D177" s="80"/>
      <c r="E177" s="80"/>
      <c r="F177" s="81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25">
      <c r="A178" s="82"/>
      <c r="B178" s="82"/>
      <c r="C178" s="79"/>
      <c r="D178" s="80"/>
      <c r="E178" s="80"/>
      <c r="F178" s="81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25">
      <c r="A179" s="82"/>
      <c r="B179" s="82"/>
      <c r="C179" s="79"/>
      <c r="D179" s="80"/>
      <c r="E179" s="80"/>
      <c r="F179" s="81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25">
      <c r="A180" s="82"/>
      <c r="B180" s="82"/>
      <c r="C180" s="79"/>
      <c r="D180" s="80"/>
      <c r="E180" s="80"/>
      <c r="F180" s="81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25">
      <c r="A181" s="82"/>
      <c r="B181" s="82"/>
      <c r="C181" s="79"/>
      <c r="D181" s="80"/>
      <c r="E181" s="80"/>
      <c r="F181" s="81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25">
      <c r="A182" s="82"/>
      <c r="B182" s="82"/>
      <c r="C182" s="79"/>
      <c r="D182" s="80"/>
      <c r="E182" s="80"/>
      <c r="F182" s="81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25">
      <c r="A183" s="82"/>
      <c r="B183" s="82"/>
      <c r="C183" s="79"/>
      <c r="D183" s="80"/>
      <c r="E183" s="80"/>
      <c r="F183" s="81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25">
      <c r="A184" s="82"/>
      <c r="B184" s="82"/>
      <c r="C184" s="79"/>
      <c r="D184" s="80"/>
      <c r="E184" s="80"/>
      <c r="F184" s="81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25">
      <c r="A185" s="82"/>
      <c r="B185" s="82"/>
      <c r="C185" s="79"/>
      <c r="D185" s="80"/>
      <c r="E185" s="80"/>
      <c r="F185" s="81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25">
      <c r="A186" s="82"/>
      <c r="B186" s="82"/>
      <c r="C186" s="79"/>
      <c r="D186" s="80"/>
      <c r="E186" s="80"/>
      <c r="F186" s="81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25">
      <c r="A187" s="82"/>
      <c r="B187" s="82"/>
      <c r="C187" s="79"/>
      <c r="D187" s="80"/>
      <c r="E187" s="80"/>
      <c r="F187" s="81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25">
      <c r="A188" s="82"/>
      <c r="B188" s="82"/>
      <c r="C188" s="79"/>
      <c r="D188" s="80"/>
      <c r="E188" s="80"/>
      <c r="F188" s="81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25">
      <c r="A189" s="82"/>
      <c r="B189" s="82"/>
      <c r="C189" s="79"/>
      <c r="D189" s="80"/>
      <c r="E189" s="80"/>
      <c r="F189" s="81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25">
      <c r="A190" s="82"/>
      <c r="B190" s="82"/>
      <c r="C190" s="79"/>
      <c r="D190" s="80"/>
      <c r="E190" s="80"/>
      <c r="F190" s="81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25">
      <c r="A191" s="82"/>
      <c r="B191" s="82"/>
      <c r="C191" s="79"/>
      <c r="D191" s="80"/>
      <c r="E191" s="80"/>
      <c r="F191" s="81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25">
      <c r="A192" s="82"/>
      <c r="B192" s="82"/>
      <c r="C192" s="79"/>
      <c r="D192" s="80"/>
      <c r="E192" s="80"/>
      <c r="F192" s="81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25">
      <c r="A193" s="82"/>
      <c r="B193" s="82"/>
      <c r="C193" s="79"/>
      <c r="D193" s="80"/>
      <c r="E193" s="80"/>
      <c r="F193" s="81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25">
      <c r="A194" s="82"/>
      <c r="B194" s="82"/>
      <c r="C194" s="79"/>
      <c r="D194" s="80"/>
      <c r="E194" s="80"/>
      <c r="F194" s="81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25">
      <c r="A195" s="82"/>
      <c r="B195" s="82"/>
      <c r="C195" s="79"/>
      <c r="D195" s="80"/>
      <c r="E195" s="80"/>
      <c r="F195" s="81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25">
      <c r="D196" s="83"/>
      <c r="E196" s="83"/>
      <c r="F196" s="84"/>
    </row>
    <row r="197" spans="1:26" ht="15.75" customHeight="1" x14ac:dyDescent="0.25"/>
    <row r="198" spans="1:26" ht="15.75" customHeight="1" x14ac:dyDescent="0.25"/>
    <row r="199" spans="1:26" ht="15.75" customHeight="1" x14ac:dyDescent="0.25"/>
    <row r="200" spans="1:26" ht="15.75" customHeight="1" x14ac:dyDescent="0.25"/>
    <row r="201" spans="1:26" ht="15.75" customHeight="1" x14ac:dyDescent="0.25"/>
    <row r="202" spans="1:26" ht="15.75" customHeight="1" x14ac:dyDescent="0.25"/>
    <row r="203" spans="1:26" ht="15.75" customHeight="1" x14ac:dyDescent="0.25"/>
    <row r="204" spans="1:26" ht="15.75" customHeight="1" x14ac:dyDescent="0.25"/>
    <row r="205" spans="1:26" ht="15.75" customHeight="1" x14ac:dyDescent="0.25"/>
    <row r="206" spans="1:26" ht="15.75" customHeight="1" x14ac:dyDescent="0.25"/>
    <row r="207" spans="1:26" ht="15.75" customHeight="1" x14ac:dyDescent="0.25"/>
    <row r="208" spans="1:26" ht="15.75" customHeight="1" x14ac:dyDescent="0.25"/>
    <row r="209" spans="1:1" ht="15.75" customHeight="1" x14ac:dyDescent="0.25">
      <c r="A209" s="85" t="s">
        <v>865</v>
      </c>
    </row>
    <row r="210" spans="1:1" ht="15.75" customHeight="1" x14ac:dyDescent="0.25"/>
    <row r="211" spans="1:1" ht="15.75" customHeight="1" x14ac:dyDescent="0.25"/>
    <row r="212" spans="1:1" ht="15.75" customHeight="1" x14ac:dyDescent="0.25"/>
    <row r="213" spans="1:1" ht="15.75" customHeight="1" x14ac:dyDescent="0.25"/>
    <row r="214" spans="1:1" ht="15.75" customHeight="1" x14ac:dyDescent="0.25"/>
    <row r="215" spans="1:1" ht="15.75" customHeight="1" x14ac:dyDescent="0.25"/>
    <row r="216" spans="1:1" ht="15.75" customHeight="1" x14ac:dyDescent="0.25"/>
    <row r="217" spans="1:1" ht="15.75" customHeight="1" x14ac:dyDescent="0.25"/>
    <row r="218" spans="1:1" ht="15.75" customHeight="1" x14ac:dyDescent="0.25"/>
    <row r="219" spans="1:1" ht="15.75" customHeight="1" x14ac:dyDescent="0.25"/>
    <row r="220" spans="1:1" ht="15.75" customHeight="1" x14ac:dyDescent="0.25"/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1:1" ht="15.75" customHeight="1" x14ac:dyDescent="0.25"/>
    <row r="242" spans="1:1" ht="15.75" customHeight="1" x14ac:dyDescent="0.25"/>
    <row r="243" spans="1:1" ht="15.75" customHeight="1" x14ac:dyDescent="0.25"/>
    <row r="244" spans="1:1" ht="15.75" customHeight="1" x14ac:dyDescent="0.25"/>
    <row r="245" spans="1:1" ht="15.75" customHeight="1" x14ac:dyDescent="0.25"/>
    <row r="246" spans="1:1" ht="15.75" customHeight="1" x14ac:dyDescent="0.25"/>
    <row r="247" spans="1:1" ht="15.75" customHeight="1" x14ac:dyDescent="0.25"/>
    <row r="248" spans="1:1" ht="15.75" customHeight="1" x14ac:dyDescent="0.25"/>
    <row r="249" spans="1:1" ht="15.75" customHeight="1" x14ac:dyDescent="0.25"/>
    <row r="250" spans="1:1" ht="15.75" customHeight="1" x14ac:dyDescent="0.25"/>
    <row r="251" spans="1:1" ht="15.75" customHeight="1" x14ac:dyDescent="0.25"/>
    <row r="252" spans="1:1" ht="15.75" customHeight="1" x14ac:dyDescent="0.25"/>
    <row r="253" spans="1:1" ht="15.75" customHeight="1" x14ac:dyDescent="0.25"/>
    <row r="254" spans="1:1" ht="15.75" customHeight="1" x14ac:dyDescent="0.25">
      <c r="A254" s="85" t="s">
        <v>866</v>
      </c>
    </row>
    <row r="255" spans="1:1" ht="15.75" customHeight="1" x14ac:dyDescent="0.25"/>
    <row r="256" spans="1:1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spans="1:1" ht="15.75" customHeight="1" x14ac:dyDescent="0.25"/>
    <row r="290" spans="1:1" ht="15.75" customHeight="1" x14ac:dyDescent="0.25"/>
    <row r="291" spans="1:1" ht="15.75" customHeight="1" x14ac:dyDescent="0.25"/>
    <row r="292" spans="1:1" ht="15.75" customHeight="1" x14ac:dyDescent="0.25"/>
    <row r="293" spans="1:1" ht="15.75" customHeight="1" x14ac:dyDescent="0.25"/>
    <row r="294" spans="1:1" ht="15.75" customHeight="1" x14ac:dyDescent="0.25"/>
    <row r="295" spans="1:1" ht="15.75" customHeight="1" x14ac:dyDescent="0.25"/>
    <row r="296" spans="1:1" ht="15.75" customHeight="1" x14ac:dyDescent="0.25"/>
    <row r="297" spans="1:1" ht="15.75" customHeight="1" x14ac:dyDescent="0.25"/>
    <row r="298" spans="1:1" ht="15.75" customHeight="1" x14ac:dyDescent="0.25">
      <c r="A298" s="85" t="s">
        <v>867</v>
      </c>
    </row>
    <row r="299" spans="1:1" ht="15.75" customHeight="1" x14ac:dyDescent="0.25"/>
    <row r="300" spans="1:1" ht="15.75" customHeight="1" x14ac:dyDescent="0.25"/>
    <row r="301" spans="1:1" ht="15.75" customHeight="1" x14ac:dyDescent="0.25"/>
    <row r="302" spans="1:1" ht="15.75" customHeight="1" x14ac:dyDescent="0.25"/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spans="1:1" ht="15.75" customHeight="1" x14ac:dyDescent="0.25"/>
    <row r="322" spans="1:1" ht="15.75" customHeight="1" x14ac:dyDescent="0.25"/>
    <row r="323" spans="1:1" ht="15.75" customHeight="1" x14ac:dyDescent="0.25"/>
    <row r="324" spans="1:1" ht="15.75" customHeight="1" x14ac:dyDescent="0.25"/>
    <row r="325" spans="1:1" ht="15.75" customHeight="1" x14ac:dyDescent="0.25"/>
    <row r="326" spans="1:1" ht="15.75" customHeight="1" x14ac:dyDescent="0.25"/>
    <row r="327" spans="1:1" ht="15.75" customHeight="1" x14ac:dyDescent="0.25"/>
    <row r="328" spans="1:1" ht="15.75" customHeight="1" x14ac:dyDescent="0.25"/>
    <row r="329" spans="1:1" ht="15.75" customHeight="1" x14ac:dyDescent="0.25"/>
    <row r="330" spans="1:1" ht="15.75" customHeight="1" x14ac:dyDescent="0.25"/>
    <row r="331" spans="1:1" ht="15.75" customHeight="1" x14ac:dyDescent="0.25"/>
    <row r="332" spans="1:1" ht="15.75" customHeight="1" x14ac:dyDescent="0.25"/>
    <row r="333" spans="1:1" ht="15.75" customHeight="1" x14ac:dyDescent="0.25"/>
    <row r="334" spans="1:1" ht="15.75" customHeight="1" x14ac:dyDescent="0.25"/>
    <row r="335" spans="1:1" ht="15.75" customHeight="1" x14ac:dyDescent="0.25"/>
    <row r="336" spans="1:1" ht="15.75" customHeight="1" x14ac:dyDescent="0.25">
      <c r="A336" s="85" t="s">
        <v>868</v>
      </c>
    </row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spans="1:1" ht="15.75" customHeight="1" x14ac:dyDescent="0.25"/>
    <row r="370" spans="1:1" ht="15.75" customHeight="1" x14ac:dyDescent="0.25">
      <c r="A370" s="85" t="s">
        <v>869</v>
      </c>
    </row>
    <row r="371" spans="1:1" ht="15.75" customHeight="1" x14ac:dyDescent="0.25"/>
    <row r="372" spans="1:1" ht="15.75" customHeight="1" x14ac:dyDescent="0.25"/>
    <row r="373" spans="1:1" ht="15.75" customHeight="1" x14ac:dyDescent="0.25"/>
    <row r="374" spans="1:1" ht="15.75" customHeight="1" x14ac:dyDescent="0.25"/>
    <row r="375" spans="1:1" ht="15.75" customHeight="1" x14ac:dyDescent="0.25"/>
    <row r="376" spans="1:1" ht="15.75" customHeight="1" x14ac:dyDescent="0.25"/>
    <row r="377" spans="1:1" ht="15.75" customHeight="1" x14ac:dyDescent="0.25"/>
    <row r="378" spans="1:1" ht="15.75" customHeight="1" x14ac:dyDescent="0.25"/>
    <row r="379" spans="1:1" ht="15.75" customHeight="1" x14ac:dyDescent="0.25"/>
    <row r="380" spans="1:1" ht="15.75" customHeight="1" x14ac:dyDescent="0.25"/>
    <row r="381" spans="1:1" ht="15.75" customHeight="1" x14ac:dyDescent="0.25"/>
    <row r="382" spans="1:1" ht="15.75" customHeight="1" x14ac:dyDescent="0.25"/>
    <row r="383" spans="1:1" ht="15.75" customHeight="1" x14ac:dyDescent="0.25"/>
    <row r="384" spans="1:1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Test Plan&amp;report</vt:lpstr>
      <vt:lpstr>Revisions</vt:lpstr>
      <vt:lpstr>Quan ly dat lich</vt:lpstr>
      <vt:lpstr>Master Plan</vt:lpstr>
      <vt:lpstr>WFDesign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Tien</cp:lastModifiedBy>
  <dcterms:created xsi:type="dcterms:W3CDTF">2026-05-08T14:20:57Z</dcterms:created>
  <dcterms:modified xsi:type="dcterms:W3CDTF">2026-05-08T14:25:27Z</dcterms:modified>
</cp:coreProperties>
</file>