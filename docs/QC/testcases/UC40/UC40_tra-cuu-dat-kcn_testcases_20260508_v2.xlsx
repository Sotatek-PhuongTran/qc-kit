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Git_MBFS\mbfs-bqa\docs\QC-MOBILE\testcases\UC40\"/>
    </mc:Choice>
  </mc:AlternateContent>
  <bookViews>
    <workbookView xWindow="-72" yWindow="-16320" windowWidth="29040" windowHeight="15720" activeTab="4"/>
  </bookViews>
  <sheets>
    <sheet name="Overview" sheetId="1" r:id="rId1"/>
    <sheet name="Test Plan&amp;report" sheetId="2" r:id="rId2"/>
    <sheet name="Revisions" sheetId="3" r:id="rId3"/>
    <sheet name="Tra cứu quỹ đất" sheetId="4" r:id="rId4"/>
    <sheet name="WFDesign" sheetId="5" r:id="rId5"/>
  </sheets>
  <externalReferences>
    <externalReference r:id="rId6"/>
  </externalReferences>
  <calcPr calcId="162913"/>
</workbook>
</file>

<file path=xl/calcChain.xml><?xml version="1.0" encoding="utf-8"?>
<calcChain xmlns="http://schemas.openxmlformats.org/spreadsheetml/2006/main">
  <c r="M5" i="4" l="1"/>
  <c r="J5" i="4"/>
  <c r="M4" i="4"/>
  <c r="J4" i="4"/>
  <c r="M3" i="4"/>
  <c r="O1" i="4" s="1"/>
  <c r="J3" i="4"/>
  <c r="M2" i="4"/>
  <c r="J2" i="4"/>
  <c r="Q1" i="4"/>
  <c r="M1" i="4"/>
  <c r="J1" i="4"/>
  <c r="P16" i="2"/>
  <c r="B16" i="2"/>
  <c r="J3" i="2"/>
  <c r="J9" i="2" s="1"/>
  <c r="I3" i="2"/>
  <c r="I9" i="2" s="1"/>
  <c r="H3" i="2"/>
  <c r="H9" i="2" s="1"/>
  <c r="G3" i="2"/>
  <c r="G9" i="2" s="1"/>
  <c r="F3" i="2"/>
  <c r="F9" i="2" s="1"/>
  <c r="E3" i="2" l="1"/>
  <c r="E9" i="2" s="1"/>
  <c r="D9" i="2" s="1"/>
  <c r="D3" i="2" l="1"/>
  <c r="C3" i="2"/>
  <c r="C9" i="2"/>
</calcChain>
</file>

<file path=xl/sharedStrings.xml><?xml version="1.0" encoding="utf-8"?>
<sst xmlns="http://schemas.openxmlformats.org/spreadsheetml/2006/main" count="1588" uniqueCount="928">
  <si>
    <t>Testcase</t>
  </si>
  <si>
    <t>MBFS - Ứng dụng di động</t>
  </si>
  <si>
    <t>Project Name:</t>
  </si>
  <si>
    <t>Reviewer:</t>
  </si>
  <si>
    <t>Tien.nguyen2</t>
  </si>
  <si>
    <t>Document Code:</t>
  </si>
  <si>
    <t>Role:</t>
  </si>
  <si>
    <t>QC Leader</t>
  </si>
  <si>
    <t>Platform</t>
  </si>
  <si>
    <t>Reviewed Date:</t>
  </si>
  <si>
    <t>Created By:</t>
  </si>
  <si>
    <t>nga.tran3</t>
  </si>
  <si>
    <t>Approver:</t>
  </si>
  <si>
    <t>Chung.vu</t>
  </si>
  <si>
    <t>QC</t>
  </si>
  <si>
    <t>PM</t>
  </si>
  <si>
    <t>Created Date:</t>
  </si>
  <si>
    <t>Approved Date:</t>
  </si>
  <si>
    <t>Version</t>
  </si>
  <si>
    <t>TEST REPORT</t>
  </si>
  <si>
    <t>Function ID</t>
  </si>
  <si>
    <t>Test coverage</t>
  </si>
  <si>
    <t>Test success coverage</t>
  </si>
  <si>
    <t>Total TCs</t>
  </si>
  <si>
    <t>Pass</t>
  </si>
  <si>
    <t>Fail</t>
  </si>
  <si>
    <t>Pending</t>
  </si>
  <si>
    <t>N/A</t>
  </si>
  <si>
    <t>Untested</t>
  </si>
  <si>
    <t>FUNC40</t>
  </si>
  <si>
    <t>Total</t>
  </si>
  <si>
    <t>TEST PLAN</t>
  </si>
  <si>
    <t>No</t>
  </si>
  <si>
    <t>Function Name</t>
  </si>
  <si>
    <t>Screen list</t>
  </si>
  <si>
    <t>Est viewpoint</t>
  </si>
  <si>
    <t>Create Test Cases</t>
  </si>
  <si>
    <t>Execute Test Cases</t>
  </si>
  <si>
    <t>Est Time (h)</t>
  </si>
  <si>
    <t>Act Time (h)</t>
  </si>
  <si>
    <t>PIC</t>
  </si>
  <si>
    <t>Status</t>
  </si>
  <si>
    <t>Round 1
Est Time(h)</t>
  </si>
  <si>
    <t>Round 1
Act Time (h)</t>
  </si>
  <si>
    <t>Round 2
Est Time(h)</t>
  </si>
  <si>
    <t>Round 2
Act Time (h)</t>
  </si>
  <si>
    <t>Total Time (h)</t>
  </si>
  <si>
    <t>Tra cứu thông tin quỹ đất trong KCN</t>
  </si>
  <si>
    <t>Review</t>
  </si>
  <si>
    <t>HISTORY</t>
  </si>
  <si>
    <t>History</t>
  </si>
  <si>
    <t>Date</t>
  </si>
  <si>
    <t>Content</t>
  </si>
  <si>
    <t>Author</t>
  </si>
  <si>
    <t>Thêm mới</t>
  </si>
  <si>
    <t>System Name</t>
  </si>
  <si>
    <t>MBFS Mobile</t>
  </si>
  <si>
    <t>Browser</t>
  </si>
  <si>
    <t>iOS</t>
  </si>
  <si>
    <t>Android</t>
  </si>
  <si>
    <t>Number of Test cases</t>
  </si>
  <si>
    <t>Number of Bugs</t>
  </si>
  <si>
    <t>Module</t>
  </si>
  <si>
    <t>Ứng dụng Di động</t>
  </si>
  <si>
    <t>UC40 - Tra cứu thông tin quỹ đất trong KCN</t>
  </si>
  <si>
    <t>Created By</t>
  </si>
  <si>
    <t>QC Agent</t>
  </si>
  <si>
    <t>Execute By</t>
  </si>
  <si>
    <t>ID_TC</t>
  </si>
  <si>
    <t>Test Title/Summary of test cases</t>
  </si>
  <si>
    <t>Pre-Condition</t>
  </si>
  <si>
    <t>Step</t>
  </si>
  <si>
    <t>Expected Result</t>
  </si>
  <si>
    <t>Data/Note</t>
  </si>
  <si>
    <t>Round 1 - iOS</t>
  </si>
  <si>
    <t>Round 1 - Android</t>
  </si>
  <si>
    <t>Round 2 - iOS</t>
  </si>
  <si>
    <t>Round 2 - Android</t>
  </si>
  <si>
    <t xml:space="preserve">Test Result </t>
  </si>
  <si>
    <t>Execute Date</t>
  </si>
  <si>
    <t xml:space="preserve">ID Bug </t>
  </si>
  <si>
    <t>1. Màn hình Danh sách quỹ đất</t>
  </si>
  <si>
    <t>Check UI/UX</t>
  </si>
  <si>
    <t>TC_001</t>
  </si>
  <si>
    <t>[Màn hình Danh sách quỹ đất] Kiểm tra UI/UX tổng thể khi lần đầu truy cập</t>
  </si>
  <si>
    <t>Đã đăng nhập hợp lệ và đang ở Trang chủ.</t>
  </si>
  <si>
    <t>1. Mở [Sidebar], chọn mục "Quản lý quỹ đất"
2. Chờ dữ liệu lần đầu tải xong
3. Kiểm tra hiển thị màn hình [Danh sách quỹ đất]</t>
  </si>
  <si>
    <t>3. 
- Header: icon ← (nút Quay lại) ở góc trái, tiêu đề "Quản lý quỹ đất" căn giữa.
- Ô tìm kiếm có placeholder "Tìm kiếm tên lô đất...".
- Icon [Lọc] hiển thị bên phải ô tìm kiếm.
- Danh sách Card lô đất hiển thị bên dưới, sắp xếp A-Z tên lô đất.
- Layout, màu sắc, font chữ giống Design (Tham khảo sheet "WFDesign").</t>
  </si>
  <si>
    <t>Tham khảo WFDesign</t>
  </si>
  <si>
    <t>TC_002</t>
  </si>
  <si>
    <t>[Màn hình Danh sách quỹ đất] Kiểm tra hiển thị loading state toàn màn hình khi first-load</t>
  </si>
  <si>
    <t>Đã đăng nhập và chưa từng mở màn hình [Quản lý quỹ đất] trong session hiện tại.</t>
  </si>
  <si>
    <t>1. Từ [Sidebar] chọn "Quản lý quỹ đất"
2. Kiểm tra hiển thị trạng thái loading ngay khi màn hình vừa mở</t>
  </si>
  <si>
    <t>2. Hiển thị loading indicator toàn màn hình (full-screen loading overlay) trong khi chờ dữ liệu lần đầu. Không hiển thị spinner cục bộ ở first-load.</t>
  </si>
  <si>
    <t>CMR-07 v1.1</t>
  </si>
  <si>
    <t>TC_003</t>
  </si>
  <si>
    <t>[Màn hình Danh sách quỹ đất] Kiểm tra hiển thị ô tìm kiếm với placeholder mặc định</t>
  </si>
  <si>
    <t>Đã vào màn hình [Danh sách quỹ đất].</t>
  </si>
  <si>
    <t>1. Kiểm tra ô tìm kiếm khi chưa nhập ký tự</t>
  </si>
  <si>
    <t>1. Ô tìm kiếm hiển thị placeholder "Tìm kiếm tên lô đất..." màu xám nhạt, con trỏ chưa focus.</t>
  </si>
  <si>
    <t>CMR-01</t>
  </si>
  <si>
    <t>TC_004</t>
  </si>
  <si>
    <t>[Màn hình Danh sách quỹ đất] Kiểm tra hiển thị Card lô đất với đầy đủ 6 thành phần</t>
  </si>
  <si>
    <t>Đã vào màn hình [Danh sách quỹ đất] và danh sách có ít nhất 1 lô đất.</t>
  </si>
  <si>
    <t>1. Quan sát 1 Card lô đất bất kỳ
2. Kiểm tra các thành phần trên Card</t>
  </si>
  <si>
    <t>2. Card hiển thị đủ 6 thành phần: Tên lô đất (in đậm), Icon "&gt;" ở phải, Vị trí, Diện tích, Badge tình trạng quỹ đất, Badge tình trạng công bố.</t>
  </si>
  <si>
    <t>UC40 Section 2.1</t>
  </si>
  <si>
    <t>TC_005</t>
  </si>
  <si>
    <t>[Màn hình Danh sách quỹ đất] Kiểm tra truncate tối đa 2 dòng với tên lô đất/vị trí dài</t>
  </si>
  <si>
    <t>Đã có lô đất với tên/vị trí dài &gt; 40 ký tự.</t>
  </si>
  <si>
    <t>1. Kiểm tra hiển thị Card của lô đất có tên/vị trí dài</t>
  </si>
  <si>
    <t>1. Tên lô đất và Vị trí truncate tối đa 2 dòng, cuối dòng hiển thị "..."; không tràn khỏi Card.</t>
  </si>
  <si>
    <t>TC_006</t>
  </si>
  <si>
    <t>[Màn hình Danh sách quỹ đất] Kiểm tra format hàng nghìn cho diện tích trên Card</t>
  </si>
  <si>
    <t>Đã có lô đất có diện tích 50000 m² trên danh sách.</t>
  </si>
  <si>
    <t>1. Quan sát trường diện tích trên Card
2. Kiểm tra định dạng hiển thị</t>
  </si>
  <si>
    <t>2. Diện tích hiển thị theo format hàng nghìn, ví dụ "50,000" (CMR-11). Không hiển thị đơn vị "m²" trên Card.</t>
  </si>
  <si>
    <t>CMR-11</t>
  </si>
  <si>
    <t>TC_007</t>
  </si>
  <si>
    <t>[Badge Còn trống] Kiểm tra hiển thị màu xanh lá</t>
  </si>
  <si>
    <t>Đã có lô đất có tình trạng quỹ đất = "Còn trống".</t>
  </si>
  <si>
    <t>1. Quan sát Badge tình trạng quỹ đất trên Card</t>
  </si>
  <si>
    <t>1. Badge "Còn trống" hiển thị nền xanh lá nhạt, chữ xanh lá đậm, read-only.</t>
  </si>
  <si>
    <t>CMR-05</t>
  </si>
  <si>
    <t>TC_008</t>
  </si>
  <si>
    <t>[Badge Đã cho thuê] Kiểm tra hiển thị màu đỏ</t>
  </si>
  <si>
    <t>Đã có lô đất có tình trạng quỹ đất = "Đã cho thuê".</t>
  </si>
  <si>
    <t>1. Badge "Đã cho thuê" hiển thị nền đỏ nhạt, chữ đỏ đậm, read-only.</t>
  </si>
  <si>
    <t>TC_009</t>
  </si>
  <si>
    <t>[Badge Đã công bố] Kiểm tra hiển thị outline xanh</t>
  </si>
  <si>
    <t>Đã có lô đất có tình trạng công bố = "Đã công bố".</t>
  </si>
  <si>
    <t>1. Quan sát Badge tình trạng công bố trên Card</t>
  </si>
  <si>
    <t>1. Badge "Đã công bố" hiển thị nền trắng, viền xanh lá, chữ xanh lá.</t>
  </si>
  <si>
    <t>UC40 2.1</t>
  </si>
  <si>
    <t>TC_010</t>
  </si>
  <si>
    <t>[Badge Chưa công bố] Kiểm tra hiển thị màu xám</t>
  </si>
  <si>
    <t>Đã có lô đất có tình trạng công bố = "Chưa công bố".</t>
  </si>
  <si>
    <t>1. Badge "Chưa công bố" hiển thị nền xám nhạt, chữ xám đậm.</t>
  </si>
  <si>
    <t>TC_011</t>
  </si>
  <si>
    <t>[Icon Lọc] Kiểm tra hiển thị indicator filter active</t>
  </si>
  <si>
    <t>Đã áp dụng ít nhất 1 tiêu chí lọc (ví dụ KCN = "KCN A").</t>
  </si>
  <si>
    <t>1. Quay về màn hình [Danh sách quỹ đất]
2. Quan sát icon [Lọc]</t>
  </si>
  <si>
    <t>2. Icon [Lọc] hiển thị indicator (dấu chấm/icon) màu xanh lá ở góc phải trên, báo hiệu đang có filter active.</t>
  </si>
  <si>
    <t>CMR-02 v1.1</t>
  </si>
  <si>
    <t>TC_012</t>
  </si>
  <si>
    <t>[Màn hình Danh sách quỹ đất] Kiểm tra empty state khi không có dữ liệu</t>
  </si>
  <si>
    <t>Đăng nhập bằng tài khoản không có lô đất nào được trả về.</t>
  </si>
  <si>
    <t>1. Vào màn hình [Danh sách quỹ đất]
2. Kiểm tra hiển thị khi danh sách rỗng</t>
  </si>
  <si>
    <t>2. Hiển thị empty state với thông báo "Không có dữ liệu." căn giữa vùng nội dung (CMR-14).</t>
  </si>
  <si>
    <t>CMR-14</t>
  </si>
  <si>
    <t>Check Function</t>
  </si>
  <si>
    <t>TC_013</t>
  </si>
  <si>
    <t>[Nút Quay lại] Kiểm tra nút Back (←) trên header màn hình Danh sách quỹ đất</t>
  </si>
  <si>
    <t>Đã vào màn hình [Danh sách quỹ đất] từ [Sidebar].</t>
  </si>
  <si>
    <t>1. Quan sát icon ← ở góc trái header
2. Nhấn icon ←
3. Kiểm tra màn hình</t>
  </si>
  <si>
    <t>1. Icon ← hiển thị ở góc trái header.
3. App quay về màn hình trước đó.</t>
  </si>
  <si>
    <t>TC_014</t>
  </si>
  <si>
    <t>[Sidebar] Kiểm tra truy cập chức năng Tra cứu quỹ đất từ Sidebar</t>
  </si>
  <si>
    <t>Đã đăng nhập và đang ở Trang chủ.</t>
  </si>
  <si>
    <t>1. Mở [Sidebar]
2. Nhấn vào mục "Quản lý quỹ đất"
3. Kiểm tra hiển thị</t>
  </si>
  <si>
    <t>3. App điều hướng đến màn hình [Danh sách quỹ đất]. Header hiển thị "Quản lý quỹ đất". Danh sách được tải và hiển thị.</t>
  </si>
  <si>
    <t>TC_015</t>
  </si>
  <si>
    <t>[Màn hình Danh sách quỹ đất] Kiểm tra tải danh sách mặc định không áp dụng filter</t>
  </si>
  <si>
    <t>Đã đăng nhập và chưa từng mở UC40 trong session.</t>
  </si>
  <si>
    <t>1. Từ [Sidebar] chọn "Quản lý quỹ đất"
2. Chờ dữ liệu tải xong
3. Kiểm tra danh sách hiển thị</t>
  </si>
  <si>
    <t>3. Danh sách Card hiển thị đầy đủ 20 bản ghi đầu tiên (nếu có), không có filter, không có keyword tìm kiếm. Icon [Lọc] không có indicator active.</t>
  </si>
  <si>
    <t>TC_016</t>
  </si>
  <si>
    <t>[Màn hình Danh sách quỹ đất] Kiểm tra sắp xếp mặc định theo tên lô đất tăng dần A-Z</t>
  </si>
  <si>
    <t>Đã có nhiều lô đất (ví dụ N101, N102, N103) trong hệ thống.</t>
  </si>
  <si>
    <t>1. Vào màn hình [Danh sách quỹ đất]
2. Kiểm tra thứ tự các Card</t>
  </si>
  <si>
    <t>2. Các Card sắp xếp theo tên lô đất tăng dần (1-9/A-Z). Ví dụ: N101 → N102 → N103.</t>
  </si>
  <si>
    <t>TC_017</t>
  </si>
  <si>
    <t>[Màn hình Danh sách quỹ đất] Kiểm tra lazy load 20 bản ghi đầu tiên</t>
  </si>
  <si>
    <t>Tài khoản có ≥ 40 lô đất.</t>
  </si>
  <si>
    <t>1. Vào màn hình [Danh sách quỹ đất]
2. Kiểm tra số lượng bản ghi load lần đầu</t>
  </si>
  <si>
    <t>2. Danh sách hiển thị đúng 20 bản ghi đầu tiên, chưa tải thêm.</t>
  </si>
  <si>
    <t>CMR-04</t>
  </si>
  <si>
    <t>TC_018</t>
  </si>
  <si>
    <t>[Màn hình Danh sách quỹ đất] Kiểm tra lazy load 20 bản ghi tiếp theo khi cuộn cuối</t>
  </si>
  <si>
    <t>Đã vào màn hình [Danh sách quỹ đất] với 20 bản ghi đầu tiên đã load, tổng ≥ 40 bản ghi.</t>
  </si>
  <si>
    <t>1. Cuộn xuống cuối danh sách
2. Chờ spinner cục bộ
3. Kiểm tra danh sách</t>
  </si>
  <si>
    <t>3. App hiển thị spinner cục bộ ở cuối danh sách và tải thêm 20 bản ghi tiếp theo (bản ghi 21-40), tổng cộng 40 bản ghi.</t>
  </si>
  <si>
    <t>CMR-04, CMR-07 v1.1</t>
  </si>
  <si>
    <t>TC_019</t>
  </si>
  <si>
    <t>[Màn hình Danh sách quỹ đất] Kiểm tra lazy load với đúng 20 bản ghi (boundary exact)</t>
  </si>
  <si>
    <t>Tài khoản có đúng 20 lô đất.</t>
  </si>
  <si>
    <t>1. Vào màn hình [Danh sách quỹ đất]
2. Cuộn xuống cuối
3. Kiểm tra hành vi</t>
  </si>
  <si>
    <t>3. Hiển thị đủ 20 bản ghi, không trigger lazy load, không có spinner cục bộ ở cuối.</t>
  </si>
  <si>
    <t>BVA = 20</t>
  </si>
  <si>
    <t>TC_020</t>
  </si>
  <si>
    <t>[Màn hình Danh sách quỹ đất] Kiểm tra lazy load với 21 bản ghi (BVA Limit + 1)</t>
  </si>
  <si>
    <t>Tài khoản có đúng 21 lô đất.</t>
  </si>
  <si>
    <t>1. Vào màn hình [Danh sách quỹ đất]
2. Load lần đầu
3. Cuộn xuống cuối
4. Kiểm tra danh sách</t>
  </si>
  <si>
    <t>2. Hiển thị 20 bản ghi đầu tiên.
4. Lazy load tải thêm 1 bản ghi cuối → tổng 21 bản ghi, ẩn loading indicator.</t>
  </si>
  <si>
    <t>BVA = 21</t>
  </si>
  <si>
    <t>TC_021</t>
  </si>
  <si>
    <t>[Màn hình Danh sách quỹ đất] Kiểm tra lazy load với 41 bản ghi (BVA 2 lần load)</t>
  </si>
  <si>
    <t>Tài khoản có đúng 41 lô đất.</t>
  </si>
  <si>
    <t>1. Load lần đầu → 20 bản ghi
2. Cuộn cuối → 40 bản ghi
3. Cuộn tiếp → 41 bản ghi
4. Kiểm tra</t>
  </si>
  <si>
    <t>4. Hiển thị tổng 41 bản ghi, không tải thêm nữa, ẩn loading indicator.</t>
  </si>
  <si>
    <t>BVA = 41</t>
  </si>
  <si>
    <t>TC_022</t>
  </si>
  <si>
    <t>[Màn hình Danh sách quỹ đất] Kiểm tra ẩn loading indicator khi hết dữ liệu</t>
  </si>
  <si>
    <t>Đã load hết toàn bộ bản ghi.</t>
  </si>
  <si>
    <t>1. Cuộn xuống cuối danh sách sau khi đã load hết
2. Kiểm tra loading indicator</t>
  </si>
  <si>
    <t>2. Không hiển thị spinner cục bộ. Không gọi thêm API lazy load.</t>
  </si>
  <si>
    <t>TC_023</t>
  </si>
  <si>
    <t>[Màn hình Danh sách quỹ đất] Kiểm tra hiển thị empty state khi 0 bản ghi</t>
  </si>
  <si>
    <t>Tài khoản không có lô đất nào.</t>
  </si>
  <si>
    <t>1. Vào màn hình [Danh sách quỹ đất]
2. Kiểm tra hiển thị</t>
  </si>
  <si>
    <t>2. Hiển thị thông báo "Không có dữ liệu." căn giữa vùng nội dung (CMR-14). Không hiển thị Card nào.</t>
  </si>
  <si>
    <t>TC_024</t>
  </si>
  <si>
    <t>[Màn hình Danh sách quỹ đất] Kiểm tra hiển thị lỗi timeout khi API quá 10 giây</t>
  </si>
  <si>
    <t>Giả lập server phản hồi chậm &gt; 10 giây (dùng proxy/network throttle).</t>
  </si>
  <si>
    <t>1. Vào màn hình [Danh sách quỹ đất]
2. Chờ &gt; 10 giây
3. Kiểm tra hiển thị</t>
  </si>
  <si>
    <t>3. Hiển thị thông báo "Yêu cầu đã hết thời gian chờ. Vui lòng thử lại." kèm nút [Thử lại]. Không crash app.</t>
  </si>
  <si>
    <t>CMR-07, CMR-16</t>
  </si>
  <si>
    <t>TC_025</t>
  </si>
  <si>
    <t>[Màn hình Danh sách quỹ đất] Kiểm tra hiển thị lỗi khi mất kết nối mạng</t>
  </si>
  <si>
    <t>Thiết bị đã bật chế độ máy bay/tắt mạng.</t>
  </si>
  <si>
    <t>2. Hiển thị thông báo "Không thể kết nối. Vui lòng kiểm tra mạng và thử lại." kèm nút [Thử lại].</t>
  </si>
  <si>
    <t>CMR-07</t>
  </si>
  <si>
    <t>TC_026</t>
  </si>
  <si>
    <t>[Màn hình Danh sách quỹ đất] Kiểm tra hiển thị lỗi server 500</t>
  </si>
  <si>
    <t>Giả lập API danh sách trả về HTTP 500.</t>
  </si>
  <si>
    <t>2. Hiển thị thông báo "Hệ thống đang bận. Vui lòng thử lại sau." kèm nút [Thử lại] (nếu có).</t>
  </si>
  <si>
    <t>TC_027</t>
  </si>
  <si>
    <t>[Nút Thử lại] Kiểm tra tải lại danh sách thành công sau lỗi</t>
  </si>
  <si>
    <t>Đã hiển thị thông báo lỗi và nút [Thử lại] (timeout hoặc network).</t>
  </si>
  <si>
    <t>1. Khôi phục mạng
2. Nhấn [Thử lại]
3. Kiểm tra hiển thị</t>
  </si>
  <si>
    <t>3. Loading indicator xuất hiện, sau đó danh sách Card hiển thị đầy đủ như happy path.</t>
  </si>
  <si>
    <t>TC_028</t>
  </si>
  <si>
    <t>[Ô tìm kiếm] Kiểm tra happy path tìm kiếm theo từ khóa chính xác</t>
  </si>
  <si>
    <t>Đã có lô đất tên "N102".</t>
  </si>
  <si>
    <t>1. Nhấn vào ô tìm kiếm
2. Nhập "N102"
3. Chờ debounce 3 giây
4. Kiểm tra kết quả</t>
  </si>
  <si>
    <t>4. Sau 3 giây, app trả về danh sách các lô đất có tên chứa "N102". Ô tìm kiếm giữ nguyên chữ đã nhập.</t>
  </si>
  <si>
    <t>TC_029</t>
  </si>
  <si>
    <t>[Ô tìm kiếm] Kiểm tra tìm kiếm gần đúng với từ khóa "N10"</t>
  </si>
  <si>
    <t>Đã có các lô đất N101, N102, N103, N20.</t>
  </si>
  <si>
    <t>1. Nhập "N10" vào ô tìm kiếm
2. Chờ debounce
3. Kiểm tra kết quả</t>
  </si>
  <si>
    <t>3. Danh sách hiển thị các lô đất có tên chứa "N10" (N101, N102, N103), không hiển thị N20.</t>
  </si>
  <si>
    <t>TC_030</t>
  </si>
  <si>
    <t>[Ô tìm kiếm] Kiểm tra debounce 3 giây</t>
  </si>
  <si>
    <t>1. Nhập "N102" vào ô tìm kiếm
2. Đếm thời gian đến khi có kết quả
3. Kiểm tra thời điểm API được gọi</t>
  </si>
  <si>
    <t>3. App chỉ thực hiện tìm kiếm sau khi ngừng gõ đúng 3 giây. Trước 3 giây chưa có phản hồi.</t>
  </si>
  <si>
    <t>BVA debounce = 3s</t>
  </si>
  <si>
    <t>TC_031</t>
  </si>
  <si>
    <t>[Ô tìm kiếm] Kiểm tra reset debounce khi nhập liên tục</t>
  </si>
  <si>
    <t>1. Nhập "N", chờ 2 giây
2. Nhập tiếp "1", chờ 2 giây
3. Nhập tiếp "0"
4. Chờ 3 giây
5. Kiểm tra API được gọi</t>
  </si>
  <si>
    <t>5. App chỉ gọi 1 lần API sau khi ngừng gõ 3 giây. Trong quá trình gõ liên tục, timer debounce reset mỗi lần nhập mới.</t>
  </si>
  <si>
    <t>TC_032</t>
  </si>
  <si>
    <t>[Ô tìm kiếm] Kiểm tra xóa từ khóa → danh sách reset về mặc định</t>
  </si>
  <si>
    <t>Đã nhập "N102" và có kết quả filter.</t>
  </si>
  <si>
    <t>1. Xóa toàn bộ nội dung ô tìm kiếm
2. Chờ debounce
3. Kiểm tra danh sách</t>
  </si>
  <si>
    <t>3. Sau debounce, danh sách quay trở về trạng thái mặc định (hiển thị tất cả lô đất, sắp xếp A-Z, lazy load 20 bản ghi).</t>
  </si>
  <si>
    <t>TC_033</t>
  </si>
  <si>
    <t>[Ô tìm kiếm] Kiểm tra tìm kiếm không phân biệt chữ hoa/thường</t>
  </si>
  <si>
    <t>1. Nhập "n102" (chữ thường)
2. Chờ debounce
3. Kiểm tra kết quả
4. Xóa, nhập lại "N102" (chữ hoa)
5. So sánh kết quả</t>
  </si>
  <si>
    <t>3 &amp; 5. Cả 2 trường hợp đều trả về cùng kết quả chứa lô đất "N102".</t>
  </si>
  <si>
    <t>EP</t>
  </si>
  <si>
    <t>TC_034</t>
  </si>
  <si>
    <t>[Ô tìm kiếm] Kiểm tra xử lý ký tự đặc biệt</t>
  </si>
  <si>
    <t>1. Nhập "!@#$" vào ô tìm kiếm
2. Chờ debounce
3. Kiểm tra phản hồi</t>
  </si>
  <si>
    <t>3. App không crash, trả về empty state "Không tìm thấy kết quả." hoặc danh sách phù hợp nếu có; xử lý input an toàn.</t>
  </si>
  <si>
    <t>TC_035</t>
  </si>
  <si>
    <t>[Ô tìm kiếm] Kiểm tra nhập chỉ toàn khoảng trắng</t>
  </si>
  <si>
    <t>1. Nhập "     " (5 khoảng trắng)
2. Chờ debounce
3. Kiểm tra phản hồi</t>
  </si>
  <si>
    <t>3. App xử lý như trống (trim), hiển thị danh sách mặc định (không filter).</t>
  </si>
  <si>
    <t>TC_036</t>
  </si>
  <si>
    <t>[Ô tìm kiếm] Kiểm tra tìm kiếm tiếng Việt có dấu</t>
  </si>
  <si>
    <t>Đã có lô đất có tên chứa "Đình".</t>
  </si>
  <si>
    <t>1. Nhập "Đình" vào ô tìm kiếm
2. Chờ debounce
3. Kiểm tra kết quả</t>
  </si>
  <si>
    <t>3. App trả về danh sách lô đất có tên chứa "Đình", giữ nguyên dấu tiếng Việt.</t>
  </si>
  <si>
    <t>TC_037</t>
  </si>
  <si>
    <t>[Ô tìm kiếm] Kiểm tra nhập đúng 500 ký tự (BVA max)</t>
  </si>
  <si>
    <t>1. Paste/nhập đúng 500 ký tự vào ô tìm kiếm
2. Chờ debounce
3. Kiểm tra hành vi</t>
  </si>
  <si>
    <t>2. App cho phép nhập đủ 500 ký tự.
3. Thực hiện tìm kiếm bình thường.</t>
  </si>
  <si>
    <t>BVA = 500, CMR-01</t>
  </si>
  <si>
    <t>TC_038</t>
  </si>
  <si>
    <t>[Ô tìm kiếm] Kiểm tra block nhập ký tự thứ 501 (BVA max + 1)</t>
  </si>
  <si>
    <t>Đã nhập đủ 500 ký tự.</t>
  </si>
  <si>
    <t>1. Cố gõ thêm 1 ký tự (ký tự thứ 501)
2. Cố paste thêm 1 ký tự
3. Kiểm tra hành vi</t>
  </si>
  <si>
    <t>1 &amp; 2. App block không cho nhập thêm. Số ký tự giữ nguyên ở 500.</t>
  </si>
  <si>
    <t>BVA = 501, CMR-01</t>
  </si>
  <si>
    <t>TC_039</t>
  </si>
  <si>
    <t>[Ô tìm kiếm] Kiểm tra nhập 1 ký tự (BVA min)</t>
  </si>
  <si>
    <t>1. Nhập 1 ký tự (ví dụ "N")
2. Chờ debounce
3. Kiểm tra kết quả</t>
  </si>
  <si>
    <t>3. App thực hiện tìm kiếm bình thường, trả về kết quả chứa "N".</t>
  </si>
  <si>
    <t>BVA = 1</t>
  </si>
  <si>
    <t>TC_040</t>
  </si>
  <si>
    <t>[Ô tìm kiếm] Kiểm tra hiển thị lỗi timeout khi tìm kiếm quá 10 giây</t>
  </si>
  <si>
    <t>Giả lập server phản hồi chậm.</t>
  </si>
  <si>
    <t>1. Nhập keyword bất kỳ
2. Chờ &gt; 10 giây
3. Kiểm tra hiển thị</t>
  </si>
  <si>
    <t>3. App hiển thị thông báo timeout kèm nút [Thử lại] theo CMR-07/CMR-16.</t>
  </si>
  <si>
    <t>CMR-16</t>
  </si>
  <si>
    <t>TC_041</t>
  </si>
  <si>
    <t>[Ô tìm kiếm] Kiểm tra hiển thị empty state "Không tìm thấy kết quả."</t>
  </si>
  <si>
    <t>1. Nhập keyword không tồn tại (ví dụ "XYZ99")
2. Chờ debounce
3. Kiểm tra hiển thị</t>
  </si>
  <si>
    <t>3. App hiển thị "Không tìm thấy kết quả." căn giữa vùng nội dung (CMR-14).</t>
  </si>
  <si>
    <t>TC_042</t>
  </si>
  <si>
    <t>[Card lô đất] Kiểm tra tap Card để điều hướng sang màn [Chi tiết lô đất]</t>
  </si>
  <si>
    <t>Đã vào màn hình [Danh sách quỹ đất] có ít nhất 1 Card.</t>
  </si>
  <si>
    <t>1. Tap vào Card lô đất bất kỳ
2. Kiểm tra điều hướng</t>
  </si>
  <si>
    <t>2. App điều hướng sang màn [Chi tiết lô đất], hiển thị thông tin lô đất tương ứng, header "Chi tiết lô đất".</t>
  </si>
  <si>
    <t>TC_043</t>
  </si>
  <si>
    <t>[Card lô đất] Kiểm tra debounce double-tap — chỉ navigate 1 lần</t>
  </si>
  <si>
    <t>1. Tap nhanh 2-3 lần liên tiếp cùng 1 Card
2. Kiểm tra stack navigation</t>
  </si>
  <si>
    <t>2. App chỉ mở 1 màn [Chi tiết lô đất], không stack 2-3 màn.</t>
  </si>
  <si>
    <t>CMR-18</t>
  </si>
  <si>
    <t>TC_044</t>
  </si>
  <si>
    <t>[Pull-to-Refresh] Kiểm tra happy path kéo xuống để reload danh sách</t>
  </si>
  <si>
    <t>Đã vào màn hình [Danh sách quỹ đất] có dữ liệu.</t>
  </si>
  <si>
    <t>1. Kéo xuống từ đầu danh sách
2. Chờ spinner reload
3. Kiểm tra danh sách sau reload</t>
  </si>
  <si>
    <t>2. Spinner/animation hiển thị ở đầu list, app gọi API reload.
3. Cập nhật danh sách mới, ẩn spinner.</t>
  </si>
  <si>
    <t>CMR-13, Section 5.3</t>
  </si>
  <si>
    <t>TC_045</t>
  </si>
  <si>
    <t>[Pull-to-Refresh] Kiểm tra giữ nguyên filter và keyword hiện tại khi refresh</t>
  </si>
  <si>
    <t>Đang có filter KCN = "KCN A" + keyword "N10".</t>
  </si>
  <si>
    <t>1. Kéo xuống refresh
2. Kiểm tra danh sách sau reload
3. Kiểm tra ô tìm kiếm và icon [Lọc]</t>
  </si>
  <si>
    <t>2. Danh sách reload với cùng filter/keyword (không reset).
3. Keyword "N10" vẫn ở ô tìm kiếm, icon [Lọc] vẫn có indicator active.</t>
  </si>
  <si>
    <t>CMR-13</t>
  </si>
  <si>
    <t>TC_046</t>
  </si>
  <si>
    <t>[Pull-to-Refresh] Kiểm tra refresh thất bại — giữ data cũ + thông báo lỗi</t>
  </si>
  <si>
    <t>Đã có data hiển thị trên màn hình.</t>
  </si>
  <si>
    <t>1. Tắt mạng
2. Kéo xuống refresh
3. Kiểm tra hiển thị</t>
  </si>
  <si>
    <t>3. Spinner ẩn; danh sách cũ vẫn hiển thị; toast/thông báo lỗi theo CMR-07 "Không thể kết nối...".</t>
  </si>
  <si>
    <t>CMR-07, CMR-13</t>
  </si>
  <si>
    <t>TC_047</t>
  </si>
  <si>
    <t>[Pull-to-Refresh] Kiểm tra không duplicate khi đang lazy load</t>
  </si>
  <si>
    <t>Đã vào màn hình, đang trong quá trình lazy load 20 bản ghi tiếp theo.</t>
  </si>
  <si>
    <t>1. Trong khi spinner lazy load đang hiển thị, kéo xuống refresh
2. Kiểm tra số request API</t>
  </si>
  <si>
    <t>2. App không trigger API refresh mới cho đến khi lazy load hoàn tất. Không duplicate request.</t>
  </si>
  <si>
    <t>TC_048</t>
  </si>
  <si>
    <t>[Pull-to-Refresh] Kiểm tra kéo nhiều lần liên tiếp chỉ 1 lần gọi API</t>
  </si>
  <si>
    <t>1. Kéo pull-to-refresh 2-3 lần liên tiếp trong khi API lần đầu chưa trả về
2. Kiểm tra số lần gọi API</t>
  </si>
  <si>
    <t>2. App chỉ trigger 1 lần API refresh.</t>
  </si>
  <si>
    <t>TC_049</t>
  </si>
  <si>
    <t>[Màn hình Danh sách quỹ đất] Kiểm tra state persistence giữ keyword khi quay lại từ [Chi tiết]</t>
  </si>
  <si>
    <t>1. Nhập "N10" vào ô tìm kiếm, chờ kết quả
2. Tap vào 1 Card → mở [Chi tiết]
3. Tap nút [Quay lại] ←
4. Kiểm tra danh sách</t>
  </si>
  <si>
    <t>4. Ô tìm kiếm vẫn hiển thị "N10", danh sách vẫn là kết quả đã filter theo "N10", vị trí cuộn được giữ nguyên.</t>
  </si>
  <si>
    <t>Section 5.2</t>
  </si>
  <si>
    <t>TC_050</t>
  </si>
  <si>
    <t>[Màn hình Danh sách quỹ đất] Kiểm tra state persistence giữ filter khi quay lại từ [Chi tiết]</t>
  </si>
  <si>
    <t>Đã áp dụng filter (ví dụ KCN = "KCN A", Tình trạng = "Còn trống").</t>
  </si>
  <si>
    <t>1. Tap vào Card → mở [Chi tiết]
2. Tap [Quay lại] ←
3. Kiểm tra danh sách và icon [Lọc]</t>
  </si>
  <si>
    <t>3. Danh sách vẫn là kết quả đã filter (KCN A + Còn trống); icon [Lọc] vẫn có indicator active.</t>
  </si>
  <si>
    <t>TC_051</t>
  </si>
  <si>
    <t>[Partial load] Kiểm tra API danh sách OK nhưng API danh mục KCN fail</t>
  </si>
  <si>
    <t>Giả lập API danh sách lô đất thành công, API danh mục KCN trả lỗi.</t>
  </si>
  <si>
    <t>1. Vào màn hình [Danh sách quỹ đất]
2. Quan sát danh sách
3. Mở Bottom Sheet [Lọc]
4. Kiểm tra dropdown KCN</t>
  </si>
  <si>
    <t>2. Danh sách hiển thị bình thường (không block toàn màn).
4. Dropdown KCN hiển thị empty option hoặc thông báo lỗi cục bộ; các dropdown khác vẫn hoạt động.</t>
  </si>
  <si>
    <t>Section 3.4</t>
  </si>
  <si>
    <t>TC_052</t>
  </si>
  <si>
    <t>[Partial load] Kiểm tra API danh sách fail nhưng API KCN OK</t>
  </si>
  <si>
    <t>Giả lập API danh sách lô đất fail, API KCN thành công.</t>
  </si>
  <si>
    <t>1. Vào màn hình [Danh sách quỹ đất]
2. Quan sát màn hình
3. Mở Bottom Sheet [Lọc]
4. Kiểm tra dropdown KCN</t>
  </si>
  <si>
    <t>2. Màn hình danh sách hiển thị thông báo lỗi/empty kèm nút [Thử lại].
4. Dropdown KCN load được options bình thường.</t>
  </si>
  <si>
    <t>TC_053</t>
  </si>
  <si>
    <t>[Session 401] Kiểm tra auto refresh token khi access token hết hạn</t>
  </si>
  <si>
    <t>Access token đã hết hạn nhưng refresh token còn hiệu lực (&lt;15 ngày).</t>
  </si>
  <si>
    <t>1. Thực hiện thao tác bất kỳ trên màn [Danh sách quỹ đất]
2. Kiểm tra hành vi app</t>
  </si>
  <si>
    <t>2. App tự động gọi API refresh token, nhận access token mới, retry request ban đầu thành công. Người dùng không bị gián đoạn.</t>
  </si>
  <si>
    <t>Section 3.3, CMR-07 v1.1</t>
  </si>
  <si>
    <t>TC_054</t>
  </si>
  <si>
    <t>[Session 401] Kiểm tra redirect login khi refresh token quá 15 ngày</t>
  </si>
  <si>
    <t>Refresh token đã hết hạn (&gt; 15 ngày) hoặc không hợp lệ.</t>
  </si>
  <si>
    <t>1. Thực hiện thao tác bất kỳ (load danh sách, tap card, etc.)
2. Kiểm tra hành vi app</t>
  </si>
  <si>
    <t>2. App redirect về màn [Đăng nhập]. Hiển thị toast "Phiên đăng nhập hết hạn.".</t>
  </si>
  <si>
    <t>Section 3.3</t>
  </si>
  <si>
    <t>TC_055</t>
  </si>
  <si>
    <t>[Đa ngôn ngữ] Kiểm tra switch ngôn ngữ — text cứng đổi theo</t>
  </si>
  <si>
    <t>Đã vào màn hình [Danh sách quỹ đất] với ngôn ngữ tiếng Việt.</t>
  </si>
  <si>
    <t>1. Mở [Settings], switch ngôn ngữ sang English (hoặc ngôn ngữ khác)
2. Quay lại màn [Danh sách quỹ đất]
3. Kiểm tra header, placeholder, empty state, label</t>
  </si>
  <si>
    <t>3. Header "Quản lý quỹ đất", placeholder "Tìm kiếm tên lô đất...", thông báo "Không có dữ liệu." và các text cứng khác đổi theo ngôn ngữ đã chọn.</t>
  </si>
  <si>
    <t>CMR-17</t>
  </si>
  <si>
    <t>TC_056</t>
  </si>
  <si>
    <t>[Đa ngôn ngữ] Kiểm tra dữ liệu API giữ nguyên bản khi switch ngôn ngữ</t>
  </si>
  <si>
    <t>Đã vào màn hình [Danh sách quỹ đất] với tiếng Việt.</t>
  </si>
  <si>
    <t>1. Switch ngôn ngữ sang English
2. Quay lại màn [Danh sách quỹ đất]
3. Kiểm tra dữ liệu trên Card</t>
  </si>
  <si>
    <t>3. Tên lô đất, mã/tên KCN, vị trí (dữ liệu từ API) KHÔNG đổi theo ngôn ngữ, giữ nguyên bản tiếng Việt từ BE.</t>
  </si>
  <si>
    <t>TC_057</t>
  </si>
  <si>
    <t>[Đa ngôn ngữ] Kiểm tra lưu ngôn ngữ sau khi đóng/mở app</t>
  </si>
  <si>
    <t>Đã switch ngôn ngữ sang English.</t>
  </si>
  <si>
    <t>1. Đóng app (force close)
2. Mở lại app
3. Vào màn [Danh sách quỹ đất]
4. Kiểm tra ngôn ngữ hiển thị</t>
  </si>
  <si>
    <t>4. App giữ nguyên ngôn ngữ English (không reset về mặc định tiếng Việt).</t>
  </si>
  <si>
    <t>TC_058</t>
  </si>
  <si>
    <t>[Force close] Kiểm tra force close và mở lại giữ session</t>
  </si>
  <si>
    <t>Đã vào màn [Danh sách quỹ đất] với search + filter active.</t>
  </si>
  <si>
    <t>1. Force close app (không uninstall)
2. Mở lại app
3. Kiểm tra màn hình mở</t>
  </si>
  <si>
    <t>3. App quay về [Trang chủ] (KHÔNG restore state search/filter UC40). Session vẫn hợp lệ, không yêu cầu đăng nhập lại.</t>
  </si>
  <si>
    <t>TC_059</t>
  </si>
  <si>
    <t>[Uninstall] Kiểm tra uninstall và cài lại yêu cầu đăng nhập</t>
  </si>
  <si>
    <t>App đang login.</t>
  </si>
  <si>
    <t>1. Uninstall app
2. Cài lại app
3. Mở app
4. Kiểm tra màn hình mở</t>
  </si>
  <si>
    <t>4. App yêu cầu đăng nhập lại từ đầu (session không restore).</t>
  </si>
  <si>
    <t>Check common</t>
  </si>
  <si>
    <t>Kiểm tra các trường hợp phổ biến UI/UX</t>
  </si>
  <si>
    <t>TC_060</t>
  </si>
  <si>
    <t>[Màn hình Danh sách quỹ đất] Kiểm tra hiển thị dữ liệu tối đa (maxlength)</t>
  </si>
  <si>
    <t>Đã vào màn hình Màn hình Danh sách quỹ đất.</t>
  </si>
  <si>
    <t>1. Nhập dữ liệu đạt độ dài tối đa theo quy định của các trường trên màn hình
2. Kiểm tra hiển thị trên màn hình</t>
  </si>
  <si>
    <t>2. Hiển thị đúng độ dài tối đa, không tràn layout, không cắt text không mong muốn.</t>
  </si>
  <si>
    <t>TC_061</t>
  </si>
  <si>
    <t>[Màn hình Danh sách quỹ đất] Kiểm tra khôi phục/phóng to/thu nhỏ ứng dụng</t>
  </si>
  <si>
    <t>1. Mở ứng dụng
2. Thực hiện khôi phục, phóng to, thu nhỏ ứng dụng
3. Kiểm tra hiển thị</t>
  </si>
  <si>
    <t>3. Không xảy ra lỗi bất thường, giao diện không bị vỡ.</t>
  </si>
  <si>
    <t>TC_062</t>
  </si>
  <si>
    <t>[Màn hình Danh sách quỹ đất] Kiểm tra tính nhất quán của các thông báo</t>
  </si>
  <si>
    <t>1. Kích hoạt các thông báo lỗi inline và thông báo toast trên màn hình
2. Kiểm tra hiển thị các thông báo</t>
  </si>
  <si>
    <t>2. Xác nhận thông báo lỗi:
- Thông báo lỗi inline: hiển thị dưới ô nhập liệu bị lỗi, màu đỏ.
- Thông báo lỗi dạng toast: hiển thị ở giữa hoặc phía dưới màn hình.</t>
  </si>
  <si>
    <t>TC_063</t>
  </si>
  <si>
    <t>[Màn hình Danh sách quỹ đất] Kiểm tra hiển thị khi thiết bị ở chế độ dọc (thiết bị xoay theo chiều đứng)</t>
  </si>
  <si>
    <t>1. Đặt thiết bị ở chế độ dọc
2. Kiểm tra hiển thị màn hình</t>
  </si>
  <si>
    <t>2. Không có lỗi gì xảy ra, giao diện không bị vỡ.</t>
  </si>
  <si>
    <t>TC_064</t>
  </si>
  <si>
    <t>[Màn hình Danh sách quỹ đất] Kiểm tra hiển thị khi thiết bị ở chế độ ngang (thiết bị xoay theo chiều ngang)</t>
  </si>
  <si>
    <t>1. Đặt thiết bị ở chế độ ngang
2. Kiểm tra hiển thị màn hình</t>
  </si>
  <si>
    <t>TC_065</t>
  </si>
  <si>
    <t>[Màn hình Danh sách quỹ đất] Kiểm tra hiển thị khi chuyển đổi giữa chế độ dọc và ngang</t>
  </si>
  <si>
    <t>1. Chuyển thiết bị từ chế độ dọc sang ngang
2. Chuyển thiết bị từ chế độ ngang sang dọc
3. Kiểm tra hiển thị</t>
  </si>
  <si>
    <t>1 &amp; 2. Không có lỗi gì xảy ra, giao diện không bị vỡ.</t>
  </si>
  <si>
    <t>TC_066</t>
  </si>
  <si>
    <t>[Màn hình Danh sách quỹ đất] Kiểm tra hiển thị khi thiết bị sử dụng cỡ chữ lớn nhất</t>
  </si>
  <si>
    <t>1. Cấu hình cỡ chữ thiết bị ở mức lớn nhất
2. Mở ứng dụng và kiểm tra hiển thị</t>
  </si>
  <si>
    <t>2. Giao diện không bị vỡ, các nhãn và nội dung vẫn đọc được.</t>
  </si>
  <si>
    <t>TC_067</t>
  </si>
  <si>
    <t>[Màn hình Danh sách quỹ đất] Kiểm tra hiển thị khi thiết bị sử dụng cỡ chữ nhỏ nhất</t>
  </si>
  <si>
    <t>1. Cấu hình cỡ chữ thiết bị ở mức nhỏ nhất
2. Mở ứng dụng và kiểm tra hiển thị</t>
  </si>
  <si>
    <t>Kiểm tra tương tác cơ bản với thiết bị</t>
  </si>
  <si>
    <t>TC_068</t>
  </si>
  <si>
    <t>[Màn hình Danh sách quỹ đất] Xác nhận hiển thị của ứng dụng khi người dùng chạm vào nút [Quay lại] trên thiết bị Android</t>
  </si>
  <si>
    <t>1. Mở ứng dụng
2. Người dùng chạm vào nút [Quay lại] trên thiết bị Android
3. Kiểm tra hiển thị</t>
  </si>
  <si>
    <t>3. Quay lại màn hình trước đó.</t>
  </si>
  <si>
    <t>TC_069</t>
  </si>
  <si>
    <t>[Màn hình Danh sách quỹ đất] Xác nhận hiển thị của ứng dụng khi người dùng vuốt từ trái sang phải trên thiết bị iOS</t>
  </si>
  <si>
    <t>1. Mở ứng dụng
2. Người dùng vuốt từ trái sang phải trên thiết bị iOS
3. Kiểm tra hiển thị</t>
  </si>
  <si>
    <t>TC_070</t>
  </si>
  <si>
    <t>[Màn hình Danh sách quỹ đất] Xác nhận hiển thị của ứng dụng khi người dùng tắt và mở lại ứng dụng</t>
  </si>
  <si>
    <t>1. Mở ứng dụng
2. Người dùng tắt ứng dụng
3. Mở lại ứng dụng
4. Kiểm tra hiển thị</t>
  </si>
  <si>
    <t>4. Ứng dụng mở lại từ trạng thái ban đầu (Trang chủ), session vẫn hợp lệ.</t>
  </si>
  <si>
    <t>TC_071</t>
  </si>
  <si>
    <t>[Màn hình Danh sách quỹ đất] Kiểm tra chế độ đa nhiệm (multitasking)</t>
  </si>
  <si>
    <t>1. Mở ứng dụng
2. Trở về màn hình chính (không tắt ứng dụng)
3. Mở lại ứng dụng
4. Kiểm tra hiển thị</t>
  </si>
  <si>
    <t>4. Ứng dụng giữ nguyên ở trạng thái hiện tại.</t>
  </si>
  <si>
    <t>TC_072</t>
  </si>
  <si>
    <t>[Màn hình Danh sách quỹ đất] Xác nhận hiển thị của ứng dụng khi người dùng khóa và mở khóa màn hình thiết bị</t>
  </si>
  <si>
    <t>1. Mở ứng dụng
2. Khóa thiết bị
3. Mở khóa thiết bị
4. Kiểm tra hiển thị</t>
  </si>
  <si>
    <t>4. Giữ nguyên trạng thái hiện tại của ứng dụng.</t>
  </si>
  <si>
    <t>TC_073</t>
  </si>
  <si>
    <t>[Màn hình Danh sách quỹ đất] Kiểm tra hành động kéo xuống để làm mới (pull-to-refresh)</t>
  </si>
  <si>
    <t>Tiền điều kiện: Màn hình hỗ trợ tính năng kéo để làm mới
1. Người dùng ở màn hình hiện tại
2. Kéo xuống để làm mới
3. Kiểm tra hiển thị</t>
  </si>
  <si>
    <t>3. Hiển thị dữ liệu mới nhất của màn hình.</t>
  </si>
  <si>
    <t>TC_074</t>
  </si>
  <si>
    <t>[Màn hình Danh sách quỹ đất] Kiểm tra hành động cuộn xuống để tải thêm (scroll-down-to-load-more)</t>
  </si>
  <si>
    <t>Tiền điều kiện: Màn hình hỗ trợ tính năng cuộn xuống để tải thêm
1. Người dùng cuộn xuống cuối danh sách
2. Kiểm tra hiển thị</t>
  </si>
  <si>
    <t>2. Hiển thị thêm dữ liệu mới (lazy load 20 bản ghi/lần).</t>
  </si>
  <si>
    <t>TC_075</t>
  </si>
  <si>
    <t>[Màn hình Danh sách quỹ đất] Kiểm tra phản hồi của ứng dụng khi thiết bị nhận được thông báo từ ứng dụng khác</t>
  </si>
  <si>
    <t>Tiền điều kiện: Ứng dụng khác được phép gửi thông báo
1. Người dùng mở ứng dụng
2. Ứng dụng khác gửi thông báo
3. Kiểm tra hiển thị</t>
  </si>
  <si>
    <t>3. Không có lỗi nào xảy ra, ứng dụng vẫn hoạt động bình thường.</t>
  </si>
  <si>
    <t>2. Bộ lọc tìm kiếm (Bottom Sheet)</t>
  </si>
  <si>
    <t>TC_076</t>
  </si>
  <si>
    <t>[Bottom Sheet Lọc] Kiểm tra UI/UX tổng thể khi mở Bottom Sheet lần đầu</t>
  </si>
  <si>
    <t>Đã vào màn [Danh sách quỹ đất].</t>
  </si>
  <si>
    <t>1. Nhấn icon [Lọc]
2. Kiểm tra hiển thị Bottom Sheet</t>
  </si>
  <si>
    <t>2. Bottom Sheet mở từ dưới lên, hiển thị:
- 5 trường: Khu công nghiệp, Diện tích (Từ), Diện tích (Đến), Tình trạng quỹ đất, Tình trạng công bố.
- 2 nút: [Nhập lại] (secondary), [Áp dụng] (primary).
- Nút [X] đóng ở góc phải trên.
Layout, màu sắc, font giống Design (Tham khảo sheet "WFDesign").</t>
  </si>
  <si>
    <t>TC_077</t>
  </si>
  <si>
    <t>[Bottom Sheet Lọc] Kiểm tra giá trị mặc định của tất cả 5 trường khi mở lần đầu</t>
  </si>
  <si>
    <t>Chưa từng mở Bottom Sheet trong session.</t>
  </si>
  <si>
    <t>1. Tap icon [Lọc]
2. Kiểm tra giá trị mặc định từng trường</t>
  </si>
  <si>
    <t>2. KCN = "Tất cả các KCN"; Tình trạng quỹ đất = "Tất cả"; Tình trạng công bố = "Tất cả"; Diện tích (Từ) trống với placeholder "từ"; Diện tích (Đến) trống với placeholder "đến".</t>
  </si>
  <si>
    <t>TC_078</t>
  </si>
  <si>
    <t>[Ô Diện tích Từ] Kiểm tra placeholder "từ"</t>
  </si>
  <si>
    <t>Đã mở Bottom Sheet [Lọc].</t>
  </si>
  <si>
    <t>1. Quan sát ô Diện tích (Từ) khi chưa nhập</t>
  </si>
  <si>
    <t>1. Hiển thị placeholder "từ" màu xám nhạt.</t>
  </si>
  <si>
    <t>TC_079</t>
  </si>
  <si>
    <t>[Ô Diện tích Đến] Kiểm tra placeholder "đến"</t>
  </si>
  <si>
    <t>1. Quan sát ô Diện tích (Đến) khi chưa nhập</t>
  </si>
  <si>
    <t>1. Hiển thị placeholder "đến" màu xám nhạt.</t>
  </si>
  <si>
    <t>TC_080</t>
  </si>
  <si>
    <t>[Icon Lọc] Kiểm tra indicator filter active sau khi áp dụng</t>
  </si>
  <si>
    <t>Đã áp dụng filter KCN = "KCN A".</t>
  </si>
  <si>
    <t>1. Quay về màn [Danh sách quỹ đất]
2. Quan sát icon [Lọc]
3. Nhấn [Nhập lại] trong Bottom Sheet → [Áp dụng]
4. Quan sát icon [Lọc] lại</t>
  </si>
  <si>
    <t>2. Icon [Lọc] có indicator (dấu chấm/icon xanh lá) ở góc phải trên.
4. Indicator biến mất.</t>
  </si>
  <si>
    <t>TC_081</t>
  </si>
  <si>
    <t>[Icon Lọc] Kiểm tra mở Bottom Sheet khi tap icon Lọc</t>
  </si>
  <si>
    <t>1. Nhấn icon [Lọc]
2. Kiểm tra hiển thị</t>
  </si>
  <si>
    <t>2. Bottom Sheet [Lọc] mở từ dưới lên với 5 trường + 3 nút (Áp dụng, Nhập lại, X).</t>
  </si>
  <si>
    <t>CMR-02</t>
  </si>
  <si>
    <t>TC_082</t>
  </si>
  <si>
    <t>[Bottom Sheet Lọc] Kiểm tra đóng Bottom Sheet bằng nút X</t>
  </si>
  <si>
    <t>Đã mở Bottom Sheet [Lọc], đã chỉnh vài tiêu chí.</t>
  </si>
  <si>
    <t>1. Nhấn nút [X] ở góc phải trên
2. Kiểm tra</t>
  </si>
  <si>
    <t>2. Bottom Sheet đóng. Danh sách phía sau KHÔNG thay đổi (giữ nguyên kết quả trước khi mở).</t>
  </si>
  <si>
    <t>TC_083</t>
  </si>
  <si>
    <t>[Bottom Sheet Lọc] Kiểm tra đóng Bottom Sheet bằng tap vùng ngoài</t>
  </si>
  <si>
    <t>1. Tap vào vùng overlay bên ngoài Bottom Sheet
2. Kiểm tra</t>
  </si>
  <si>
    <t>2. Bottom Sheet đóng. Danh sách phía sau KHÔNG thay đổi.</t>
  </si>
  <si>
    <t>TC_084</t>
  </si>
  <si>
    <t>[Bottom Sheet Lọc] Kiểm tra đóng Bottom Sheet bằng nút Back vật lý (Android)</t>
  </si>
  <si>
    <t>Đã mở Bottom Sheet [Lọc] trên thiết bị Android.</t>
  </si>
  <si>
    <t>1. Nhấn nút [Back] vật lý trên thiết bị
2. Kiểm tra</t>
  </si>
  <si>
    <t>2. Bottom Sheet đóng. App không thoát màn [Danh sách quỹ đất].
Note: Hành vi đúng pending Q9 — placeholder theo platform convention Android.</t>
  </si>
  <si>
    <t>Q9 parking lot</t>
  </si>
  <si>
    <t>TC_085</t>
  </si>
  <si>
    <t>[Dropdown KCN] Kiểm tra mở dropdown có ô search</t>
  </si>
  <si>
    <t>1. Tap vào dropdown KCN
2. Kiểm tra hiển thị</t>
  </si>
  <si>
    <t>1. Dropdown mở thành danh sách có ô search ở trên cùng + danh sách KCN sắp xếp A-Z. Giá trị "Tất cả các KCN" ở đầu tiên.</t>
  </si>
  <si>
    <t>CMR-03</t>
  </si>
  <si>
    <t>TC_086</t>
  </si>
  <si>
    <t>[Dropdown KCN] Kiểm tra nhập keyword filter options</t>
  </si>
  <si>
    <t>Đã mở Bottom Sheet [Lọc], đã tap dropdown KCN.</t>
  </si>
  <si>
    <t>1. Nhập "Đình" vào ô search của dropdown
2. Kiểm tra danh sách option</t>
  </si>
  <si>
    <t>2. Danh sách option filter còn các KCN chứa "Đình" (gần đúng), các option khác ẩn.</t>
  </si>
  <si>
    <t>TC_087</t>
  </si>
  <si>
    <t>[Dropdown KCN] Kiểm tra sắp xếp A-Z trong dropdown</t>
  </si>
  <si>
    <t>Đã mở dropdown KCN.</t>
  </si>
  <si>
    <t>1. Quan sát thứ tự các KCN trong danh sách</t>
  </si>
  <si>
    <t>1. Các KCN sắp xếp theo thứ tự A-Z / 0-9.</t>
  </si>
  <si>
    <t>TC_088</t>
  </si>
  <si>
    <t>[Dropdown KCN] Kiểm tra chọn option → highlight khi mở lại</t>
  </si>
  <si>
    <t>1. Chọn 1 KCN (ví dụ "KCN A")
2. Dropdown tự đóng
3. Mở lại dropdown
4. Quan sát option đã chọn</t>
  </si>
  <si>
    <t>2. Dropdown tự đóng, giá trị hiển thị trên field = "KCN A".
4. Option "KCN A" được highlight/bold.</t>
  </si>
  <si>
    <t>TC_089</t>
  </si>
  <si>
    <t>[Dropdown KCN] Kiểm tra option tên dài truncate "..."</t>
  </si>
  <si>
    <t>Có KCN với tên dài &gt; giới hạn hiển thị.</t>
  </si>
  <si>
    <t>1. Mở dropdown KCN
2. Quan sát option có tên dài</t>
  </si>
  <si>
    <t>2. Option truncate với "..." ở cuối, không tràn layout.</t>
  </si>
  <si>
    <t>TC_090</t>
  </si>
  <si>
    <t>[Dropdown Tình trạng quỹ đất] Kiểm tra 3 giá trị</t>
  </si>
  <si>
    <t>1. Tap vào dropdown Tình trạng quỹ đất
2. Quan sát danh sách options</t>
  </si>
  <si>
    <t>2. Hiển thị đủ 3 options: "Tất cả" (mặc định), "Còn trống", "Đã cho thuê".</t>
  </si>
  <si>
    <t>TC_091</t>
  </si>
  <si>
    <t>[Dropdown Tình trạng công bố] Kiểm tra 3 giá trị</t>
  </si>
  <si>
    <t>1. Tap vào dropdown Tình trạng công bố
2. Quan sát danh sách options</t>
  </si>
  <si>
    <t>2. Hiển thị đủ 3 options: "Tất cả" (mặc định), "Đã công bố", "Chưa công bố".</t>
  </si>
  <si>
    <t>TC_092</t>
  </si>
  <si>
    <t>[Ô Diện tích Từ] Kiểm tra nhập số nguyên dương hợp lệ</t>
  </si>
  <si>
    <t>1. Tap vào ô Diện tích (Từ)
2. Nhập "1000"
3. Kiểm tra hiển thị</t>
  </si>
  <si>
    <t>3. Ô hiển thị "1,000" theo format hàng nghìn (CMR-11).</t>
  </si>
  <si>
    <t>TC_093</t>
  </si>
  <si>
    <t>[Ô Diện tích Từ] Kiểm tra block nhập chữ cái</t>
  </si>
  <si>
    <t>1. Nhập "abc" vào ô Diện tích (Từ)
2. Kiểm tra hiển thị</t>
  </si>
  <si>
    <t>2. App block không cho nhập chữ cái. Ô vẫn trống hoặc giữ giá trị cũ.</t>
  </si>
  <si>
    <t>TC_094</t>
  </si>
  <si>
    <t>[Ô Diện tích Từ] Kiểm tra block ký tự đặc biệt</t>
  </si>
  <si>
    <t>1. Nhập các ký tự "!@#%" vào ô Diện tích (Từ)
2. Kiểm tra hiển thị</t>
  </si>
  <si>
    <t>2. App block không cho nhập ký tự đặc biệt.</t>
  </si>
  <si>
    <t>TC_095</t>
  </si>
  <si>
    <t>[Ô Diện tích Từ] Kiểm tra block số âm</t>
  </si>
  <si>
    <t>1. Nhập "-100" vào ô Diện tích (Từ)
2. Kiểm tra hiển thị</t>
  </si>
  <si>
    <t>2. App block dấu "-" không cho nhập. Ô chỉ nhận ký tự số dương.</t>
  </si>
  <si>
    <t>TC_096</t>
  </si>
  <si>
    <t>[Ô Diện tích Từ] Kiểm tra block số thập phân</t>
  </si>
  <si>
    <t>1. Nhập "100.5" vào ô Diện tích (Từ)
2. Kiểm tra hiển thị</t>
  </si>
  <si>
    <t>2. App block dấu "." không cho nhập. Chỉ nhận số nguyên.</t>
  </si>
  <si>
    <t>TC_097</t>
  </si>
  <si>
    <t>[Ô Diện tích] Kiểm tra boundary nhập "0" → block (Q7 min=1)</t>
  </si>
  <si>
    <t>1. Nhập "0" vào ô Diện tích (Từ)
2. Tap sang ô khác hoặc [Áp dụng]
3. Kiểm tra hành vi</t>
  </si>
  <si>
    <t>3. App block input (không cho nhập ký tự "0" vào ô). Nút [Áp dụng] vẫn Enabled, không hiển thị inline error.</t>
  </si>
  <si>
    <t>Q7 boundary min</t>
  </si>
  <si>
    <t>TC_098</t>
  </si>
  <si>
    <t>[Ô Diện tích] Kiểm tra boundary nhập "1" → accept (Q7 min=1)</t>
  </si>
  <si>
    <t>1. Nhập "1" vào ô Diện tích (Từ)
2. Kiểm tra hành vi</t>
  </si>
  <si>
    <t>2. App chấp nhận (boundary min). Không có inline error.</t>
  </si>
  <si>
    <t>Q7 BVA = min</t>
  </si>
  <si>
    <t>TC_099</t>
  </si>
  <si>
    <t>[Ô Diện tích] Kiểm tra nhập 499 chữ số (BVA Limit - 1)</t>
  </si>
  <si>
    <t>1. Paste số nguyên dương có 499 chữ số vào ô Diện tích (Từ)
2. Kiểm tra hành vi</t>
  </si>
  <si>
    <t>2. App chấp nhận đủ 499 chữ số, format hàng nghìn theo CMR-11.</t>
  </si>
  <si>
    <t>Q7 BVA = 499</t>
  </si>
  <si>
    <t>TC_100</t>
  </si>
  <si>
    <t>[Ô Diện tích] Kiểm tra nhập đúng 500 chữ số (BVA max)</t>
  </si>
  <si>
    <t>1. Paste số nguyên dương có đúng 500 chữ số vào ô Diện tích (Từ)
2. Kiểm tra hành vi</t>
  </si>
  <si>
    <t>2. App chấp nhận đủ 500 chữ số (boundary max theo CMR-11).</t>
  </si>
  <si>
    <t>Q7 BVA = 500, CMR-11</t>
  </si>
  <si>
    <t>TC_101</t>
  </si>
  <si>
    <t>[Ô Diện tích] Kiểm tra block chữ số thứ 501 (BVA max + 1)</t>
  </si>
  <si>
    <t>Đã nhập đủ 500 chữ số vào ô Diện tích (Từ).</t>
  </si>
  <si>
    <t>1. Cố gõ thêm 1 chữ số
2. Cố paste thêm
3. Kiểm tra</t>
  </si>
  <si>
    <t>1 &amp; 2. App block không cho nhập chữ số thứ 501. Ô vẫn giữ 500 chữ số.</t>
  </si>
  <si>
    <t>Q7 BVA = 501</t>
  </si>
  <si>
    <t>TC_102</t>
  </si>
  <si>
    <t>[Ô Diện tích] Kiểm tra validation Đến &gt; Từ — inline error + Áp dụng Disabled</t>
  </si>
  <si>
    <t>1. Nhập Từ = "1000"
2. Nhập Đến = "500"
3. Kiểm tra hiển thị</t>
  </si>
  <si>
    <t>3. Hiển thị inline error màu đỏ dưới ô Đến: "Diện tích (Đến) phải lớn hơn Diện tích (Từ)". Nút [Áp dụng] ở trạng thái Disabled (grayed out).</t>
  </si>
  <si>
    <t>Q4, Section 5.2</t>
  </si>
  <si>
    <t>TC_103</t>
  </si>
  <si>
    <t>[Ô Diện tích] Kiểm tra BVA — Đến = Từ</t>
  </si>
  <si>
    <t>1. Nhập Từ = "1000"
2. Nhập Đến = "1000"
3. Kiểm tra</t>
  </si>
  <si>
    <t>3. Hiển thị inline error (vì UC yêu cầu "phải lớn hơn"). Nút [Áp dụng] Disabled.</t>
  </si>
  <si>
    <t>BVA equal</t>
  </si>
  <si>
    <t>TC_104</t>
  </si>
  <si>
    <t>[Ô Diện tích] Kiểm tra BVA — Đến = Từ + 1</t>
  </si>
  <si>
    <t>1. Nhập Từ = "1000"
2. Nhập Đến = "1001"
3. Kiểm tra</t>
  </si>
  <si>
    <t>3. App chấp nhận, không có error. Nút [Áp dụng] Enabled.</t>
  </si>
  <si>
    <t>BVA +1</t>
  </si>
  <si>
    <t>TC_105</t>
  </si>
  <si>
    <t>[Ô Diện tích] Kiểm tra BVA — Đến = Từ - 1</t>
  </si>
  <si>
    <t>1. Nhập Từ = "1000"
2. Nhập Đến = "999"
3. Kiểm tra</t>
  </si>
  <si>
    <t>3. Hiển thị inline error. Nút [Áp dụng] Disabled.</t>
  </si>
  <si>
    <t>BVA -1</t>
  </si>
  <si>
    <t>TC_106</t>
  </si>
  <si>
    <t>[Ô Diện tích] Kiểm tra chỉ nhập Từ, để trống Đến</t>
  </si>
  <si>
    <t>1. Nhập Từ = "100"
2. Để trống Đến
3. Nhấn [Áp dụng]
4. Kiểm tra danh sách</t>
  </si>
  <si>
    <t>3. Không có error. [Áp dụng] Enabled.
4. App lọc lô đất có diện tích ≥ 100.</t>
  </si>
  <si>
    <t>TC_107</t>
  </si>
  <si>
    <t>[Ô Diện tích] Kiểm tra chỉ nhập Đến, để trống Từ</t>
  </si>
  <si>
    <t>1. Để trống Từ
2. Nhập Đến = "500"
3. Nhấn [Áp dụng]
4. Kiểm tra danh sách</t>
  </si>
  <si>
    <t>3. Không có error. [Áp dụng] Enabled.
4. App lọc lô đất có diện tích ≤ 500.</t>
  </si>
  <si>
    <t>TC_108</t>
  </si>
  <si>
    <t>[Ô Diện tích] Kiểm tra cả 2 trường trống — không lọc diện tích</t>
  </si>
  <si>
    <t>1. Để trống cả Từ và Đến
2. Nhấn [Áp dụng]
3. Kiểm tra danh sách</t>
  </si>
  <si>
    <t>3. App không áp dụng lọc theo diện tích (hiển thị lô đất bất kể diện tích).</t>
  </si>
  <si>
    <t>TC_109</t>
  </si>
  <si>
    <t>[Ô Diện tích] Kiểm tra format hàng nghìn khi nhập</t>
  </si>
  <si>
    <t>1. Nhập "50000" vào ô Diện tích (Từ)
2. Kiểm tra hiển thị</t>
  </si>
  <si>
    <t>2. Ô hiển thị "50,000" theo format hàng nghìn CMR-11.</t>
  </si>
  <si>
    <t>TC_110</t>
  </si>
  <si>
    <t>[Nút Áp dụng] Kiểm tra trạng thái Disabled khi validation fail</t>
  </si>
  <si>
    <t>1. Nhập Từ = "500", Đến = "300"
2. Quan sát nút [Áp dụng]
3. Thử tap nút</t>
  </si>
  <si>
    <t>2. Nút [Áp dụng] ở trạng thái Disabled (grayed out).
3. Tap không có phản hồi.</t>
  </si>
  <si>
    <t>Q4</t>
  </si>
  <si>
    <t>TC_111</t>
  </si>
  <si>
    <t>[Nút Áp dụng] Kiểm tra chuyển Enabled sau khi fix validation</t>
  </si>
  <si>
    <t>Đã có validation error (Từ=1000, Đến=500), nút [Áp dụng] Disabled.</t>
  </si>
  <si>
    <t>1. Sửa Đến = "2000"
2. Quan sát inline error và nút [Áp dụng]</t>
  </si>
  <si>
    <t>2. Inline error biến mất. Nút [Áp dụng] chuyển sang Enabled (có màu primary).</t>
  </si>
  <si>
    <t>TC_112</t>
  </si>
  <si>
    <t>[Nút Áp dụng] Kiểm tra áp dụng filter KCN đơn lẻ</t>
  </si>
  <si>
    <t>1. Chọn KCN = "KCN A"
2. Nhấn [Áp dụng]
3. Kiểm tra</t>
  </si>
  <si>
    <t>3. Bottom Sheet đóng. Danh sách hiển thị chỉ các lô đất thuộc "KCN A". Icon [Lọc] có indicator active.</t>
  </si>
  <si>
    <t>TC_113</t>
  </si>
  <si>
    <t>[Nút Áp dụng] Kiểm tra áp dụng kết hợp KCN + Diện tích (Decision Table)</t>
  </si>
  <si>
    <t>1. Chọn KCN = "KCN A"
2. Nhập Từ = "1000", Đến = "5000"
3. Nhấn [Áp dụng]
4. Kiểm tra</t>
  </si>
  <si>
    <t>4. Danh sách lọc đúng cả 2 điều kiện (thuộc KCN A và diện tích 1000-5000).</t>
  </si>
  <si>
    <t>Decision Table</t>
  </si>
  <si>
    <t>TC_114</t>
  </si>
  <si>
    <t>[Nút Áp dụng] Kiểm tra áp dụng kết hợp KCN + TT quỹ đất</t>
  </si>
  <si>
    <t>1. Chọn KCN = "KCN A"
2. Chọn TT quỹ đất = "Còn trống"
3. Nhấn [Áp dụng]
4. Kiểm tra</t>
  </si>
  <si>
    <t>4. Danh sách hiển thị lô đất thuộc KCN A + còn trống.</t>
  </si>
  <si>
    <t>TC_115</t>
  </si>
  <si>
    <t>[Nút Áp dụng] Kiểm tra áp dụng kết hợp TT quỹ đất + TT công bố</t>
  </si>
  <si>
    <t>1. Chọn TT quỹ đất = "Đã cho thuê"
2. Chọn TT công bố = "Đã công bố"
3. Nhấn [Áp dụng]
4. Kiểm tra</t>
  </si>
  <si>
    <t>4. Danh sách hiển thị lô đất đã cho thuê + đã công bố (thỏa cả 2).</t>
  </si>
  <si>
    <t>TC_116</t>
  </si>
  <si>
    <t>[Nút Áp dụng] Kiểm tra áp dụng đủ 5 tiêu chí kết hợp</t>
  </si>
  <si>
    <t>1. Chọn KCN = "KCN A", Từ = "100", Đến = "5000", TT quỹ đất = "Còn trống", TT công bố = "Đã công bố"
2. Nhấn [Áp dụng]
3. Kiểm tra</t>
  </si>
  <si>
    <t>3. Danh sách thỏa toàn bộ 5 điều kiện.</t>
  </si>
  <si>
    <t>TC_117</t>
  </si>
  <si>
    <t>[Nút Áp dụng] Kiểm tra kết hợp Search + Filter</t>
  </si>
  <si>
    <t>Đã nhập search "N10" và có kết quả.</t>
  </si>
  <si>
    <t>1. Mở Bottom Sheet [Lọc], chọn KCN = "KCN A" + TT = "Còn trống"
2. Nhấn [Áp dụng]
3. Kiểm tra</t>
  </si>
  <si>
    <t>3. Danh sách thỏa cả keyword "N10" VÀ filter (KCN A + Còn trống).</t>
  </si>
  <si>
    <t>TC_118</t>
  </si>
  <si>
    <t>[Nút Áp dụng] Kiểm tra filter không có kết quả</t>
  </si>
  <si>
    <t>1. Chọn combo filter không có lô đất nào thỏa
2. Nhấn [Áp dụng]
3. Kiểm tra</t>
  </si>
  <si>
    <t>3. Hiển thị "Không tìm thấy kết quả." căn giữa vùng nội dung (CMR-14).</t>
  </si>
  <si>
    <t>TC_119</t>
  </si>
  <si>
    <t>[Nút Nhập lại] Kiểm tra reset 5 trường về mặc định</t>
  </si>
  <si>
    <t>Đã chỉnh các tiêu chí trong Bottom Sheet.</t>
  </si>
  <si>
    <t>1. Nhấn nút [Nhập lại]
2. Kiểm tra 5 trường</t>
  </si>
  <si>
    <t>2. KCN = "Tất cả các KCN"; 2 dropdown tình trạng = "Tất cả"; 2 ô diện tích trống về placeholder.</t>
  </si>
  <si>
    <t>TC_120</t>
  </si>
  <si>
    <t>[Nút Nhập lại] Kiểm tra không đóng Bottom Sheet sau reset</t>
  </si>
  <si>
    <t>1. Nhấn nút [Nhập lại]
2. Kiểm tra trạng thái Bottom Sheet</t>
  </si>
  <si>
    <t>2. Bottom Sheet vẫn mở (không tự đóng). Người dùng có thể chỉnh tiếp hoặc tap [Áp dụng]/[X].</t>
  </si>
  <si>
    <t>TC_121</t>
  </si>
  <si>
    <t>[Bottom Sheet Lọc] Kiểm tra đóng không áp dụng — giữ nguyên filter cũ</t>
  </si>
  <si>
    <t>1. Mở Bottom Sheet [Lọc]
2. Chỉnh KCN sang "KCN B"
3. Đóng bằng nút [X] (không Áp dụng)
4. Kiểm tra danh sách và Bottom Sheet mở lại</t>
  </si>
  <si>
    <t>3. Danh sách vẫn là KCN A (filter cũ).
4. Mở lại Bottom Sheet → giá trị KCN vẫn là "KCN A" (chỉnh sửa không áp dụng bị bỏ).</t>
  </si>
  <si>
    <t>TC_122</t>
  </si>
  <si>
    <t>[Icon Lọc] Kiểm tra debounce double-tap — chỉ mở Bottom Sheet 1 lần</t>
  </si>
  <si>
    <t>1. Tap nhanh 2-3 lần vào icon [Lọc]
2. Kiểm tra số Bottom Sheet mở</t>
  </si>
  <si>
    <t>2. App chỉ mở 1 Bottom Sheet, không stack/nhảy 2 lần.</t>
  </si>
  <si>
    <t>TC_123</t>
  </si>
  <si>
    <t>[Bộ lọc tìm kiếm] Kiểm tra hiển thị dữ liệu tối đa (maxlength)</t>
  </si>
  <si>
    <t>Đã vào màn hình Bộ lọc tìm kiếm.</t>
  </si>
  <si>
    <t>TC_124</t>
  </si>
  <si>
    <t>[Bộ lọc tìm kiếm] Kiểm tra khôi phục/phóng to/thu nhỏ ứng dụng</t>
  </si>
  <si>
    <t>TC_125</t>
  </si>
  <si>
    <t>[Bộ lọc tìm kiếm] Kiểm tra tính nhất quán của các thông báo</t>
  </si>
  <si>
    <t>TC_126</t>
  </si>
  <si>
    <t>[Bộ lọc tìm kiếm] Kiểm tra hiển thị khi thiết bị ở chế độ dọc (thiết bị xoay theo chiều đứng)</t>
  </si>
  <si>
    <t>TC_127</t>
  </si>
  <si>
    <t>[Bộ lọc tìm kiếm] Kiểm tra hiển thị khi thiết bị ở chế độ ngang (thiết bị xoay theo chiều ngang)</t>
  </si>
  <si>
    <t>TC_128</t>
  </si>
  <si>
    <t>[Bộ lọc tìm kiếm] Kiểm tra hiển thị khi chuyển đổi giữa chế độ dọc và ngang</t>
  </si>
  <si>
    <t>TC_129</t>
  </si>
  <si>
    <t>[Bộ lọc tìm kiếm] Kiểm tra hiển thị khi thiết bị sử dụng cỡ chữ lớn nhất</t>
  </si>
  <si>
    <t>TC_130</t>
  </si>
  <si>
    <t>[Bộ lọc tìm kiếm] Kiểm tra hiển thị khi thiết bị sử dụng cỡ chữ nhỏ nhất</t>
  </si>
  <si>
    <t>TC_131</t>
  </si>
  <si>
    <t>[Bộ lọc tìm kiếm] Xác nhận hiển thị của ứng dụng khi người dùng chạm vào nút [Quay lại] trên thiết bị Android</t>
  </si>
  <si>
    <t>TC_132</t>
  </si>
  <si>
    <t>[Bộ lọc tìm kiếm] Xác nhận hiển thị của ứng dụng khi người dùng vuốt từ trái sang phải trên thiết bị iOS</t>
  </si>
  <si>
    <t>TC_133</t>
  </si>
  <si>
    <t>[Bộ lọc tìm kiếm] Xác nhận hiển thị của ứng dụng khi người dùng tắt và mở lại ứng dụng</t>
  </si>
  <si>
    <t>TC_134</t>
  </si>
  <si>
    <t>[Bộ lọc tìm kiếm] Kiểm tra chế độ đa nhiệm (multitasking)</t>
  </si>
  <si>
    <t>TC_135</t>
  </si>
  <si>
    <t>[Bộ lọc tìm kiếm] Xác nhận hiển thị của ứng dụng khi người dùng khóa và mở khóa màn hình thiết bị</t>
  </si>
  <si>
    <t>TC_136</t>
  </si>
  <si>
    <t>[Bộ lọc tìm kiếm] Kiểm tra hành động kéo xuống để làm mới (pull-to-refresh)</t>
  </si>
  <si>
    <t>TC_137</t>
  </si>
  <si>
    <t>[Bộ lọc tìm kiếm] Kiểm tra hành động cuộn xuống để tải thêm (scroll-down-to-load-more)</t>
  </si>
  <si>
    <t>TC_138</t>
  </si>
  <si>
    <t>[Bộ lọc tìm kiếm] Kiểm tra phản hồi của ứng dụng khi thiết bị nhận được thông báo từ ứng dụng khác</t>
  </si>
  <si>
    <t>3. Màn hình Chi tiết lô đất</t>
  </si>
  <si>
    <t>TC_139</t>
  </si>
  <si>
    <t>[Màn hình Chi tiết lô đất] Kiểm tra UI/UX tổng thể khi load đầy đủ dữ liệu</t>
  </si>
  <si>
    <t>Đã tap 1 Card trên màn [Danh sách quỹ đất] và dữ liệu chi tiết đầy đủ.</t>
  </si>
  <si>
    <t>1. Chờ màn [Chi tiết lô đất] load xong
2. Kiểm tra layout tổng thể</t>
  </si>
  <si>
    <t>2. Hiển thị:
- Header: nút [Quay lại] ← trái, tiêu đề "Chi tiết lô đất" giữa.
- 6 section: Thông tin quỹ đất, Hạ tầng &amp; Hiện trạng, Trạng thái (2 badge), Thông tin chi tiết, File đính kèm.
- Layout, màu sắc, font giống Design (Tham khảo sheet "WFDesign").</t>
  </si>
  <si>
    <t>TC_140</t>
  </si>
  <si>
    <t>[Màn hình Chi tiết lô đất] Kiểm tra loading state toàn màn hình khi first-load</t>
  </si>
  <si>
    <t>Đã tap Card để vào [Chi tiết].</t>
  </si>
  <si>
    <t>1. Ngay khi chuyển màn, quan sát loading</t>
  </si>
  <si>
    <t>1. Hiển thị loading indicator toàn màn hình (full-screen loading overlay) trong khi chờ dữ liệu lần đầu.</t>
  </si>
  <si>
    <t>TC_141</t>
  </si>
  <si>
    <t>[Màn hình Chi tiết lô đất] Kiểm tra hiển thị "-" khi các trường null</t>
  </si>
  <si>
    <t>Lô đất có Vị trí, Thời hạn thuê, Loại đất = null.</t>
  </si>
  <si>
    <t>1. Vào màn [Chi tiết lô đất]
2. Kiểm tra các trường null</t>
  </si>
  <si>
    <t>2. Các trường null hiển thị "-" thay cho giá trị.</t>
  </si>
  <si>
    <t>TC_142</t>
  </si>
  <si>
    <t>[Badge trạng thái chi tiết] Kiểm tra ẩn Badge khi null</t>
  </si>
  <si>
    <t>Lô đất có Tình trạng quỹ đất hoặc Tình trạng công bố = null.</t>
  </si>
  <si>
    <t>1. Vào màn [Chi tiết lô đất]
2. Quan sát Badge trong section Trạng thái</t>
  </si>
  <si>
    <t>2. Badge tương ứng với giá trị null KHÔNG hiển thị trên màn hình.</t>
  </si>
  <si>
    <t>TC_143</t>
  </si>
  <si>
    <t>[Màn hình Chi tiết lô đất] Kiểm tra text dài wrap (không truncate)</t>
  </si>
  <si>
    <t>Lô đất có tên KCN/Vị trí dài &gt; 40 ký tự.</t>
  </si>
  <si>
    <t>1. Vào màn [Chi tiết lô đất]
2. Quan sát trường có text dài</t>
  </si>
  <si>
    <t>2. Text xuống dòng (wrap text), không truncate, không có "..." (khác với Card list).</t>
  </si>
  <si>
    <t>TC_144</t>
  </si>
  <si>
    <t>[Diện tích chi tiết] Kiểm tra format hàng nghìn</t>
  </si>
  <si>
    <t>Lô đất có diện tích 50000 m².</t>
  </si>
  <si>
    <t>1. Vào màn [Chi tiết lô đất]
2. Quan sát trường Diện tích</t>
  </si>
  <si>
    <t>2. Hiển thị "50,000" theo format hàng nghìn (CMR-11).</t>
  </si>
  <si>
    <t>TC_145</t>
  </si>
  <si>
    <t>[Dropdown Hiện trạng] Kiểm tra 4 hiện trạng (đường/điện/nước/hạ tầng) ở trạng thái disabled</t>
  </si>
  <si>
    <t>Đã vào màn [Chi tiết lô đất] có đủ 4 hiện trạng.</t>
  </si>
  <si>
    <t>1. Quan sát 4 dropdown Hiện trạng đường/điện/nước/hạ tầng
2. Thử tap vào 1 dropdown</t>
  </si>
  <si>
    <t>1. Dropdown ở trạng thái read-only/disabled, hiển thị giá trị nhưng không mở danh sách option.
2. Tap không có phản hồi.</t>
  </si>
  <si>
    <t>TC_146</t>
  </si>
  <si>
    <t>[Card lô đất] Kiểm tra tap Card → load màn [Chi tiết] đầy đủ dữ liệu</t>
  </si>
  <si>
    <t>Đã ở màn [Danh sách quỹ đất].</t>
  </si>
  <si>
    <t>1. Tap Card có dữ liệu đầy đủ
2. Chờ load xong
3. Kiểm tra các trường chi tiết</t>
  </si>
  <si>
    <t>3. Hiển thị đủ: KCN ([Mã]-[Tên]), Tên lô đất, Vị trí, Diện tích (CMR-11), Thời hạn thuê, 4 hiện trạng hạ tầng, 2 badge trạng thái, Loại đất, danh sách file đính kèm.</t>
  </si>
  <si>
    <t>Section 3.1/3.2</t>
  </si>
  <si>
    <t>TC_147</t>
  </si>
  <si>
    <t>[Hiện trạng đường] Kiểm tra giá trị "Đã có"</t>
  </si>
  <si>
    <t>Lô đất có Hiện trạng đường = "Đã có".</t>
  </si>
  <si>
    <t>1. Vào [Chi tiết lô đất]
2. Quan sát dropdown Hiện trạng đường</t>
  </si>
  <si>
    <t>2. Dropdown disabled, hiển thị "Đã có".</t>
  </si>
  <si>
    <t>TC_148</t>
  </si>
  <si>
    <t>[Hiện trạng đường] Kiểm tra giá trị "Chưa có"</t>
  </si>
  <si>
    <t>Lô đất có Hiện trạng đường = "Chưa có".</t>
  </si>
  <si>
    <t>2. Dropdown disabled, hiển thị "Chưa có".</t>
  </si>
  <si>
    <t>TC_149</t>
  </si>
  <si>
    <t>[Hiện trạng đường] Kiểm tra giá trị "Đang xây dựng"</t>
  </si>
  <si>
    <t>Lô đất có Hiện trạng đường = "Đang xây dựng".</t>
  </si>
  <si>
    <t>2. Dropdown disabled, hiển thị "Đang xây dựng".</t>
  </si>
  <si>
    <t>TC_150</t>
  </si>
  <si>
    <t>[Hiện trạng đường] Kiểm tra giá trị null hiển thị "-"</t>
  </si>
  <si>
    <t>Lô đất có Hiện trạng đường = null.</t>
  </si>
  <si>
    <t>2. Dropdown hiển thị "-" thay cho giá trị.</t>
  </si>
  <si>
    <t>TC_151</t>
  </si>
  <si>
    <t>[Hiện trạng điện/nước/hạ tầng] Kiểm tra hành vi tương tự hiện trạng đường</t>
  </si>
  <si>
    <t>Lô đất có đầy đủ 3 giá trị hiện trạng cho điện, nước, hạ tầng.</t>
  </si>
  <si>
    <t>1. Vào [Chi tiết lô đất]
2. Quan sát 3 dropdown Hiện trạng điện/nước/hạ tầng với các giá trị Đã có/Chưa có/Đang xây dựng/null</t>
  </si>
  <si>
    <t>2. Mỗi dropdown hiển thị đúng 1 trong 3 giá trị (Đã có/Chưa có/Đang xây dựng) hoặc "-" nếu null. Tất cả disabled.</t>
  </si>
  <si>
    <t>TC_152</t>
  </si>
  <si>
    <t>[Thời hạn thuê] Kiểm tra hiển thị text tự do "2 năm"</t>
  </si>
  <si>
    <t>Lô đất có Thời hạn thuê = "2 năm".</t>
  </si>
  <si>
    <t>1. Vào [Chi tiết lô đất]
2. Quan sát trường Thời hạn thuê</t>
  </si>
  <si>
    <t>2. Thời hạn thuê được hiển thị đúng như giá trị nhập vào (ví dụ "2 năm" hiển thị "2 năm").</t>
  </si>
  <si>
    <t>Q14 free text</t>
  </si>
  <si>
    <t>TC_153</t>
  </si>
  <si>
    <t>[Thời hạn thuê] Kiểm tra hiển thị text "0"</t>
  </si>
  <si>
    <t>Lô đất có Thời hạn thuê = "0".</t>
  </si>
  <si>
    <t>2. Hiển thị nguyên bản "0" (không convert).</t>
  </si>
  <si>
    <t>Q14</t>
  </si>
  <si>
    <t>TC_154</t>
  </si>
  <si>
    <t>[Thời hạn thuê] Kiểm tra hiển thị text "Vĩnh viễn"</t>
  </si>
  <si>
    <t>Lô đất có Thời hạn thuê = "Vĩnh viễn".</t>
  </si>
  <si>
    <t>2. Hiển thị nguyên bản "Vĩnh viễn".</t>
  </si>
  <si>
    <t>TC_155</t>
  </si>
  <si>
    <t>[Thời hạn thuê] Kiểm tra hiển thị text "không xác định"</t>
  </si>
  <si>
    <t>Lô đất có Thời hạn thuê = "không xác định".</t>
  </si>
  <si>
    <t>2. Hiển thị nguyên bản "không xác định".</t>
  </si>
  <si>
    <t>TC_156</t>
  </si>
  <si>
    <t>[Thời hạn thuê] Kiểm tra hiển thị "-" khi null</t>
  </si>
  <si>
    <t>Lô đất có Thời hạn thuê = null.</t>
  </si>
  <si>
    <t>2. Hiển thị "-".</t>
  </si>
  <si>
    <t>TC_157</t>
  </si>
  <si>
    <t>[Màn hình Chi tiết lô đất] Kiểm tra toàn bộ trường read-only</t>
  </si>
  <si>
    <t>Đã vào [Chi tiết lô đất].</t>
  </si>
  <si>
    <t>1. Tap thử vào các trường label, dropdown, badge
2. Kiểm tra phản hồi</t>
  </si>
  <si>
    <t>2. Không có trường nào phản hồi khi tap. Không có nút Edit/Save/Delete.</t>
  </si>
  <si>
    <t>Section 4</t>
  </si>
  <si>
    <t>TC_158</t>
  </si>
  <si>
    <t>[Màn hình Chi tiết lô đất] Kiểm tra hiển thị lỗi timeout 10 giây</t>
  </si>
  <si>
    <t>Giả lập server phản hồi chậm &gt; 10 giây.</t>
  </si>
  <si>
    <t>1. Tap Card từ [Danh sách]
2. Chờ &gt; 10 giây
3. Kiểm tra hiển thị</t>
  </si>
  <si>
    <t>3. Hiển thị "Yêu cầu đã hết thời gian chờ. Vui lòng thử lại." kèm nút [Thử lại].</t>
  </si>
  <si>
    <t>TC_159</t>
  </si>
  <si>
    <t>[Màn hình Chi tiết lô đất] Kiểm tra hiển thị lỗi 404 lô đất không tồn tại</t>
  </si>
  <si>
    <t>Giả lập API trả 404 (lô đất đã bị xóa).</t>
  </si>
  <si>
    <t>1. Tap Card từ [Danh sách]
2. Kiểm tra hiển thị</t>
  </si>
  <si>
    <t>2. Hiển thị thông báo "Lô đất không tồn tại hoặc đã bị xóa.".</t>
  </si>
  <si>
    <t>TC_160</t>
  </si>
  <si>
    <t>[Nút Quay lại] Kiểm tra quay lại từ [Chi tiết] về [Danh sách]</t>
  </si>
  <si>
    <t>Đã vào [Chi tiết lô đất] từ [Danh sách].</t>
  </si>
  <si>
    <t>1. Nhấn nút [Quay lại] ←
2. Kiểm tra màn hình</t>
  </si>
  <si>
    <t>2. App quay về màn [Danh sách quỹ đất] với state (keyword, filter, vị trí cuộn) được giữ nguyên.</t>
  </si>
  <si>
    <t>TC_161</t>
  </si>
  <si>
    <t>[Nút Quay lại] Kiểm tra debounce double-tap — chỉ pop 1 lần</t>
  </si>
  <si>
    <t>1. Tap nhanh 2 lần vào nút [Quay lại] ←
2. Kiểm tra màn hình</t>
  </si>
  <si>
    <t>2. App chỉ pop 1 màn (về [Danh sách]), không pop luôn qua Home.</t>
  </si>
  <si>
    <t>TC_162</t>
  </si>
  <si>
    <t>[File đính kèm] Kiểm tra hiển thị danh sách (icon + tên)</t>
  </si>
  <si>
    <t>Lô đất có ≥ 1 file đính kèm.</t>
  </si>
  <si>
    <t>1. Vào [Chi tiết lô đất]
2. Cuộn xuống section File đính kèm
3. Kiểm tra hiển thị</t>
  </si>
  <si>
    <t>3. Danh sách file hiển thị icon (tương ứng loại file) + tên file. Không giới hạn số lượng.</t>
  </si>
  <si>
    <t>Section 2.2.6</t>
  </si>
  <si>
    <t>TC_163</t>
  </si>
  <si>
    <t>[File đính kèm] Kiểm tra tên file dài truncate với "..."</t>
  </si>
  <si>
    <t>Có file với tên dài &gt; giới hạn hiển thị.</t>
  </si>
  <si>
    <t>1. Cuộn đến section File đính kèm
2. Quan sát file có tên dài</t>
  </si>
  <si>
    <t>2. Tên file truncate cuối dòng với "...".</t>
  </si>
  <si>
    <t>TC_164</t>
  </si>
  <si>
    <t>[File đính kèm] Kiểm tra empty state khi không có file</t>
  </si>
  <si>
    <t>Lô đất không có file đính kèm.</t>
  </si>
  <si>
    <t>1. Vào [Chi tiết lô đất]
2. Cuộn đến section File đính kèm
3. Kiểm tra</t>
  </si>
  <si>
    <t>3. Hiển thị empty state với thông báo "Không có dữ liệu." (CMR-14).</t>
  </si>
  <si>
    <t>TC_165</t>
  </si>
  <si>
    <t>[File đính kèm] Kiểm tra sắp xếp theo ngày upload giảm dần</t>
  </si>
  <si>
    <t>Có 5 file upload vào các ngày khác nhau (mới nhất → cũ nhất).</t>
  </si>
  <si>
    <t>1. Vào [Chi tiết lô đất]
2. Quan sát thứ tự danh sách file</t>
  </si>
  <si>
    <t>2. File upload mới nhất ở trên cùng, cũ nhất ở dưới cùng (sắp xếp giảm dần theo ngày upload).</t>
  </si>
  <si>
    <t>Q15</t>
  </si>
  <si>
    <t>TC_166</t>
  </si>
  <si>
    <t>[File đính kèm] Kiểm tra cùng ngày upload sắp xếp theo thứ tự tạo</t>
  </si>
  <si>
    <t>Có nhiều file upload cùng ngày.</t>
  </si>
  <si>
    <t>1. Quan sát thứ tự các file cùng ngày</t>
  </si>
  <si>
    <t>1. Các file cùng ngày sắp xếp theo thứ tự tạo (order ID từ BE).</t>
  </si>
  <si>
    <t>TC_167</t>
  </si>
  <si>
    <t>[File đính kèm PDF] Kiểm tra tap → mở trên trình duyệt</t>
  </si>
  <si>
    <t>Lô đất có file .pdf.</t>
  </si>
  <si>
    <t>1. Tap vào file PDF
2. Kiểm tra hành vi</t>
  </si>
  <si>
    <t>2. App mở file PDF trực tiếp trên trình duyệt mặc định của thiết bị.</t>
  </si>
  <si>
    <t>CMR-08</t>
  </si>
  <si>
    <t>TC_168</t>
  </si>
  <si>
    <t>[File đính kèm JPG/PNG] Kiểm tra tap → mở trên trình duyệt</t>
  </si>
  <si>
    <t>Lô đất có file .jpg/.png.</t>
  </si>
  <si>
    <t>1. Tap vào file hình ảnh
2. Kiểm tra</t>
  </si>
  <si>
    <t>2. App mở file trực tiếp trên trình duyệt.</t>
  </si>
  <si>
    <t>TC_169</t>
  </si>
  <si>
    <t>[File đính kèm MP4/AVI/MOV] Kiểm tra tap → mở trên trình duyệt</t>
  </si>
  <si>
    <t>Lô đất có file .mp4/.avi/.mov.</t>
  </si>
  <si>
    <t>1. Tap vào file video
2. Kiểm tra</t>
  </si>
  <si>
    <t>2. App mở file video trực tiếp trên trình duyệt.</t>
  </si>
  <si>
    <t>TC_170</t>
  </si>
  <si>
    <t>[File đính kèm DOC/XLSX/ZIP] Kiểm tra tap → tự động tải xuống</t>
  </si>
  <si>
    <t>Lô đất có file .doc/.docx/.xls/.xlsx/.zip.</t>
  </si>
  <si>
    <t>1. Tap vào file
2. Kiểm tra</t>
  </si>
  <si>
    <t>2. App tự động tải file xuống thiết bị. Hiển thị thông báo tải xuống thành công (hoặc progress).</t>
  </si>
  <si>
    <t>TC_171</t>
  </si>
  <si>
    <t>[File đính kèm không hỗ trợ] Kiểm tra tap file định dạng lạ</t>
  </si>
  <si>
    <t>Lô đất có file định dạng không hỗ trợ (vd .bin/.xyz).</t>
  </si>
  <si>
    <t>2. Hiển thị thông báo "Định dạng không hỗ trợ. Vui lòng tải xuống.".</t>
  </si>
  <si>
    <t>TC_172</t>
  </si>
  <si>
    <t>[Đa ngôn ngữ Chi tiết] Kiểm tra switch ngôn ngữ — text cứng đổi</t>
  </si>
  <si>
    <t>Đã vào [Chi tiết lô đất] với tiếng Việt.</t>
  </si>
  <si>
    <t>1. Switch ngôn ngữ sang English
2. Quay lại [Chi tiết lô đất]
3. Kiểm tra header, label</t>
  </si>
  <si>
    <t>3. Header "Chi tiết lô đất", các label ("Diện tích", "Thời hạn thuê", "File đính kèm", etc.) đổi theo ngôn ngữ đã chọn.</t>
  </si>
  <si>
    <t>TC_173</t>
  </si>
  <si>
    <t>[Đa ngôn ngữ Chi tiết] Kiểm tra dữ liệu API nguyên bản khi switch ngôn ngữ</t>
  </si>
  <si>
    <t>1. Switch ngôn ngữ sang English
2. Quay lại [Chi tiết lô đất]
3. Kiểm tra dữ liệu</t>
  </si>
  <si>
    <t>3. Tên KCN, tên lô đất, vị trí, loại đất (dữ liệu API) KHÔNG đổi theo ngôn ngữ, giữ nguyên bản tiếng Việt.</t>
  </si>
  <si>
    <t>TC_174</t>
  </si>
  <si>
    <t>[Force close Chi tiết] Kiểm tra force close tại [Chi tiết] → Trang chủ</t>
  </si>
  <si>
    <t>1. Force close app
2. Mở lại app
3. Kiểm tra màn hình mở</t>
  </si>
  <si>
    <t>3. App quay về [Trang chủ] (không restore [Chi tiết]). Session vẫn hợp lệ.</t>
  </si>
  <si>
    <t>TC_175</t>
  </si>
  <si>
    <t>[Uninstall Chi tiết] Kiểm tra uninstall yêu cầu đăng nhập lại</t>
  </si>
  <si>
    <t>1. Uninstall app
2. Cài lại
3. Mở app
4. Kiểm tra</t>
  </si>
  <si>
    <t>4. App yêu cầu đăng nhập lại.</t>
  </si>
  <si>
    <t>TC_176</t>
  </si>
  <si>
    <t>[Màn hình Chi tiết lô đất] Kiểm tra hiển thị dữ liệu tối đa (maxlength)</t>
  </si>
  <si>
    <t>Đã vào màn hình Màn hình Chi tiết lô đất.</t>
  </si>
  <si>
    <t>TC_177</t>
  </si>
  <si>
    <t>[Màn hình Chi tiết lô đất] Kiểm tra khôi phục/phóng to/thu nhỏ ứng dụng</t>
  </si>
  <si>
    <t>TC_178</t>
  </si>
  <si>
    <t>[Màn hình Chi tiết lô đất] Kiểm tra tính nhất quán của các thông báo</t>
  </si>
  <si>
    <t>TC_179</t>
  </si>
  <si>
    <t>[Màn hình Chi tiết lô đất] Kiểm tra hiển thị khi thiết bị ở chế độ dọc (thiết bị xoay theo chiều đứng)</t>
  </si>
  <si>
    <t>TC_180</t>
  </si>
  <si>
    <t>[Màn hình Chi tiết lô đất] Kiểm tra hiển thị khi thiết bị ở chế độ ngang (thiết bị xoay theo chiều ngang)</t>
  </si>
  <si>
    <t>TC_181</t>
  </si>
  <si>
    <t>[Màn hình Chi tiết lô đất] Kiểm tra hiển thị khi chuyển đổi giữa chế độ dọc và ngang</t>
  </si>
  <si>
    <t>TC_182</t>
  </si>
  <si>
    <t>[Màn hình Chi tiết lô đất] Kiểm tra hiển thị khi thiết bị sử dụng cỡ chữ lớn nhất</t>
  </si>
  <si>
    <t>TC_183</t>
  </si>
  <si>
    <t>[Màn hình Chi tiết lô đất] Kiểm tra hiển thị khi thiết bị sử dụng cỡ chữ nhỏ nhất</t>
  </si>
  <si>
    <t>TC_184</t>
  </si>
  <si>
    <t>[Màn hình Chi tiết lô đất] Xác nhận hiển thị của ứng dụng khi người dùng chạm vào nút [Quay lại] trên thiết bị Android</t>
  </si>
  <si>
    <t>TC_185</t>
  </si>
  <si>
    <t>[Màn hình Chi tiết lô đất] Xác nhận hiển thị của ứng dụng khi người dùng vuốt từ trái sang phải trên thiết bị iOS</t>
  </si>
  <si>
    <t>TC_186</t>
  </si>
  <si>
    <t>[Màn hình Chi tiết lô đất] Xác nhận hiển thị của ứng dụng khi người dùng tắt và mở lại ứng dụng</t>
  </si>
  <si>
    <t>TC_187</t>
  </si>
  <si>
    <t>[Màn hình Chi tiết lô đất] Kiểm tra chế độ đa nhiệm (multitasking)</t>
  </si>
  <si>
    <t>TC_188</t>
  </si>
  <si>
    <t>[Màn hình Chi tiết lô đất] Xác nhận hiển thị của ứng dụng khi người dùng khóa và mở khóa màn hình thiết bị</t>
  </si>
  <si>
    <t>TC_189</t>
  </si>
  <si>
    <t>[Màn hình Chi tiết lô đất] Kiểm tra hành động kéo xuống để làm mới (pull-to-refresh)</t>
  </si>
  <si>
    <t>TC_190</t>
  </si>
  <si>
    <t>[Màn hình Chi tiết lô đất] Kiểm tra hành động cuộn xuống để tải thêm (scroll-down-to-load-more)</t>
  </si>
  <si>
    <t>TC_191</t>
  </si>
  <si>
    <t>[Màn hình Chi tiết lô đất] Kiểm tra phản hồi của ứng dụng khi thiết bị nhận được thông báo từ ứng dụng khác</t>
  </si>
  <si>
    <t>2. Thông tin định danh</t>
  </si>
  <si>
    <t>3. Thông tin khác</t>
  </si>
  <si>
    <t>Update</t>
  </si>
  <si>
    <t>MBFS_UC40_TraCuuDatKCN_Testcase_v2.0</t>
  </si>
  <si>
    <t>2. Bộ lọc tìm kiếm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</si>
</sst>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/m"/>
    <numFmt numFmtId="165" formatCode="[$-409]d\-mmm\-yy"/>
  </numFmts>
  <fonts count="21" x14ac:knownFonts="1">
    <font>
      <sz val="10"/>
      <color rgb="FF000000"/>
      <name val="Arial"/>
      <scheme val="minor"/>
    </font>
    <font>
      <sz val="11"/>
      <color theme="1"/>
      <name val="Times New Roman"/>
      <family val="1"/>
    </font>
    <font>
      <b/>
      <sz val="36"/>
      <color theme="1"/>
      <name val="Times New Roman"/>
      <family val="1"/>
    </font>
    <font>
      <b/>
      <sz val="21"/>
      <color theme="1"/>
      <name val="Times New Roman"/>
      <family val="1"/>
    </font>
    <font>
      <sz val="9"/>
      <color theme="1"/>
      <name val="Times New Roman"/>
      <family val="1"/>
    </font>
    <font>
      <b/>
      <i/>
      <sz val="9"/>
      <color theme="1"/>
      <name val="Times New Roman"/>
      <family val="1"/>
    </font>
    <font>
      <u/>
      <sz val="11"/>
      <color rgb="FF0000FF"/>
      <name val="Times New Roman"/>
      <family val="1"/>
    </font>
    <font>
      <sz val="10"/>
      <color theme="1"/>
      <name val="Times New Roman"/>
      <family val="1"/>
    </font>
    <font>
      <b/>
      <sz val="26"/>
      <color theme="1"/>
      <name val="Times New Roman"/>
      <family val="1"/>
    </font>
    <font>
      <b/>
      <sz val="10"/>
      <color theme="1"/>
      <name val="Times New Roman"/>
      <family val="1"/>
    </font>
    <font>
      <b/>
      <sz val="26"/>
      <color rgb="FF000000"/>
      <name val="Times New Roman"/>
      <family val="1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14"/>
      <color rgb="FF000000"/>
      <name val="Times New Roman"/>
      <family val="1"/>
    </font>
    <font>
      <b/>
      <sz val="14"/>
      <color rgb="FFFFFFFF"/>
      <name val="Times New Roman"/>
      <family val="1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C000"/>
        <bgColor rgb="FFFFC000"/>
      </patternFill>
    </fill>
    <fill>
      <patternFill patternType="solid">
        <fgColor rgb="FF3F3F3F"/>
        <bgColor rgb="FF3F3F3F"/>
      </patternFill>
    </fill>
    <fill>
      <patternFill patternType="solid">
        <fgColor rgb="FFCCFFCC"/>
        <bgColor rgb="FFCCFFCC"/>
      </patternFill>
    </fill>
    <fill>
      <patternFill patternType="solid">
        <fgColor rgb="FFD9D2E9"/>
        <bgColor rgb="FFD9D2E9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E3FAFD"/>
        <bgColor rgb="FFE3FAFD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/>
      <top style="thin">
        <color rgb="FF000000"/>
      </top>
      <bottom/>
      <diagonal/>
    </border>
    <border>
      <left style="thin">
        <color rgb="FFBFBFBF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5"/>
  </cellStyleXfs>
  <cellXfs count="110">
    <xf numFmtId="0" fontId="0" fillId="0" borderId="0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2" borderId="5" xfId="0" applyFont="1" applyFill="1"/>
    <xf numFmtId="0" fontId="1" fillId="2" borderId="4" xfId="0" applyFont="1" applyFill="1" applyBorder="1"/>
    <xf numFmtId="0" fontId="1" fillId="0" borderId="3" xfId="0" applyFont="1" applyBorder="1"/>
    <xf numFmtId="0" fontId="9" fillId="3" borderId="8" xfId="0" applyFont="1" applyFill="1" applyBorder="1" applyAlignment="1">
      <alignment horizontal="center" wrapText="1"/>
    </xf>
    <xf numFmtId="10" fontId="7" fillId="0" borderId="8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0" fontId="7" fillId="3" borderId="8" xfId="0" applyNumberFormat="1" applyFont="1" applyFill="1" applyBorder="1" applyAlignment="1">
      <alignment horizontal="center"/>
    </xf>
    <xf numFmtId="0" fontId="7" fillId="2" borderId="0" xfId="0" applyFont="1" applyFill="1" applyBorder="1"/>
    <xf numFmtId="0" fontId="7" fillId="0" borderId="0" xfId="0" applyFont="1" applyBorder="1" applyAlignment="1">
      <alignment vertical="top"/>
    </xf>
    <xf numFmtId="0" fontId="7" fillId="0" borderId="8" xfId="0" applyFont="1" applyBorder="1" applyAlignment="1">
      <alignment horizontal="center" vertical="top"/>
    </xf>
    <xf numFmtId="0" fontId="7" fillId="0" borderId="8" xfId="0" applyFont="1" applyBorder="1" applyAlignment="1">
      <alignment vertical="top" wrapText="1"/>
    </xf>
    <xf numFmtId="0" fontId="7" fillId="0" borderId="8" xfId="0" applyFont="1" applyBorder="1" applyAlignment="1">
      <alignment vertical="top"/>
    </xf>
    <xf numFmtId="3" fontId="7" fillId="0" borderId="8" xfId="0" applyNumberFormat="1" applyFont="1" applyBorder="1" applyAlignment="1">
      <alignment horizontal="center" vertical="top" wrapText="1"/>
    </xf>
    <xf numFmtId="0" fontId="7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14" fontId="14" fillId="6" borderId="17" xfId="0" applyNumberFormat="1" applyFont="1" applyFill="1" applyBorder="1" applyAlignment="1">
      <alignment horizontal="center" vertical="center"/>
    </xf>
    <xf numFmtId="0" fontId="14" fillId="6" borderId="18" xfId="0" applyFont="1" applyFill="1" applyBorder="1" applyAlignment="1">
      <alignment horizontal="center" vertical="center"/>
    </xf>
    <xf numFmtId="0" fontId="14" fillId="6" borderId="19" xfId="0" applyFont="1" applyFill="1" applyBorder="1" applyAlignment="1">
      <alignment horizontal="center" vertical="center"/>
    </xf>
    <xf numFmtId="0" fontId="14" fillId="6" borderId="20" xfId="0" applyFont="1" applyFill="1" applyBorder="1" applyAlignment="1">
      <alignment horizontal="center" vertical="center"/>
    </xf>
    <xf numFmtId="14" fontId="15" fillId="2" borderId="21" xfId="0" applyNumberFormat="1" applyFont="1" applyFill="1" applyBorder="1" applyAlignment="1">
      <alignment horizontal="center" vertical="center"/>
    </xf>
    <xf numFmtId="0" fontId="15" fillId="2" borderId="21" xfId="0" applyFont="1" applyFill="1" applyBorder="1" applyAlignment="1">
      <alignment vertical="center" wrapText="1"/>
    </xf>
    <xf numFmtId="0" fontId="15" fillId="2" borderId="21" xfId="0" applyFont="1" applyFill="1" applyBorder="1" applyAlignment="1">
      <alignment horizontal="center" vertical="center"/>
    </xf>
    <xf numFmtId="14" fontId="16" fillId="0" borderId="0" xfId="0" applyNumberFormat="1" applyFont="1" applyBorder="1" applyAlignment="1">
      <alignment vertical="center"/>
    </xf>
    <xf numFmtId="0" fontId="1" fillId="7" borderId="2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vertical="top" wrapText="1"/>
    </xf>
    <xf numFmtId="0" fontId="7" fillId="0" borderId="0" xfId="0" applyFont="1" applyBorder="1" applyAlignment="1">
      <alignment horizontal="left" vertical="top" wrapText="1"/>
    </xf>
    <xf numFmtId="0" fontId="7" fillId="0" borderId="0" xfId="0" applyFont="1" applyBorder="1"/>
    <xf numFmtId="0" fontId="16" fillId="0" borderId="0" xfId="0" applyFont="1" applyBorder="1" applyAlignment="1">
      <alignment wrapText="1"/>
    </xf>
    <xf numFmtId="0" fontId="16" fillId="0" borderId="0" xfId="0" applyFont="1" applyBorder="1" applyAlignment="1">
      <alignment horizontal="left" wrapText="1"/>
    </xf>
    <xf numFmtId="0" fontId="11" fillId="0" borderId="0" xfId="0" applyFont="1" applyBorder="1"/>
    <xf numFmtId="0" fontId="4" fillId="3" borderId="2" xfId="0" applyFont="1" applyFill="1" applyBorder="1" applyAlignment="1">
      <alignment wrapText="1"/>
    </xf>
    <xf numFmtId="0" fontId="5" fillId="2" borderId="2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wrapText="1"/>
    </xf>
    <xf numFmtId="164" fontId="7" fillId="0" borderId="8" xfId="0" applyNumberFormat="1" applyFont="1" applyBorder="1" applyAlignment="1">
      <alignment vertical="top"/>
    </xf>
    <xf numFmtId="0" fontId="17" fillId="3" borderId="21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left" vertical="center" wrapText="1"/>
    </xf>
    <xf numFmtId="0" fontId="18" fillId="0" borderId="26" xfId="0" applyFont="1" applyBorder="1" applyAlignment="1">
      <alignment horizontal="left" vertical="center" wrapText="1"/>
    </xf>
    <xf numFmtId="0" fontId="16" fillId="0" borderId="26" xfId="0" applyFont="1" applyBorder="1"/>
    <xf numFmtId="0" fontId="1" fillId="0" borderId="27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 wrapText="1"/>
    </xf>
    <xf numFmtId="0" fontId="19" fillId="0" borderId="28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center" vertical="center"/>
    </xf>
    <xf numFmtId="0" fontId="18" fillId="0" borderId="28" xfId="0" applyFont="1" applyBorder="1" applyAlignment="1">
      <alignment horizontal="left" vertical="center" wrapText="1"/>
    </xf>
    <xf numFmtId="0" fontId="0" fillId="0" borderId="28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28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20" fillId="0" borderId="28" xfId="0" applyFont="1" applyBorder="1" applyAlignment="1">
      <alignment horizontal="left" vertical="center" wrapText="1"/>
    </xf>
    <xf numFmtId="0" fontId="20" fillId="0" borderId="28" xfId="0" applyFont="1" applyBorder="1" applyAlignment="1">
      <alignment vertical="center" wrapText="1"/>
    </xf>
    <xf numFmtId="0" fontId="0" fillId="0" borderId="0" xfId="0" applyBorder="1"/>
    <xf numFmtId="0" fontId="19" fillId="10" borderId="26" xfId="0" applyFont="1" applyFill="1" applyBorder="1" applyAlignment="1">
      <alignment horizontal="left" vertical="center" wrapText="1"/>
    </xf>
    <xf numFmtId="0" fontId="1" fillId="4" borderId="26" xfId="0" applyFont="1" applyFill="1" applyBorder="1" applyAlignment="1">
      <alignment horizontal="center" vertical="center"/>
    </xf>
    <xf numFmtId="0" fontId="19" fillId="9" borderId="26" xfId="0" applyFont="1" applyFill="1" applyBorder="1" applyAlignment="1">
      <alignment horizontal="left" vertical="center" wrapText="1"/>
    </xf>
    <xf numFmtId="0" fontId="19" fillId="11" borderId="26" xfId="0" applyFont="1" applyFill="1" applyBorder="1" applyAlignment="1">
      <alignment horizontal="left" vertical="center" wrapText="1"/>
    </xf>
    <xf numFmtId="0" fontId="1" fillId="8" borderId="26" xfId="0" applyFont="1" applyFill="1" applyBorder="1" applyAlignment="1">
      <alignment horizontal="center" vertical="center"/>
    </xf>
    <xf numFmtId="0" fontId="19" fillId="0" borderId="26" xfId="0" applyFont="1" applyBorder="1" applyAlignment="1">
      <alignment horizontal="left" vertical="top" wrapText="1"/>
    </xf>
    <xf numFmtId="0" fontId="19" fillId="0" borderId="28" xfId="0" applyFont="1" applyBorder="1" applyAlignment="1">
      <alignment vertical="center" wrapText="1"/>
    </xf>
    <xf numFmtId="0" fontId="19" fillId="0" borderId="0" xfId="0" applyFont="1" applyBorder="1" applyAlignment="1">
      <alignment vertical="center" wrapText="1"/>
    </xf>
    <xf numFmtId="165" fontId="5" fillId="2" borderId="5" xfId="0" applyNumberFormat="1" applyFont="1" applyFill="1" applyAlignment="1">
      <alignment horizontal="left" wrapText="1"/>
    </xf>
    <xf numFmtId="0" fontId="0" fillId="0" borderId="0" xfId="0" applyBorder="1"/>
    <xf numFmtId="0" fontId="4" fillId="3" borderId="5" xfId="0" applyFont="1" applyFill="1" applyAlignment="1">
      <alignment wrapText="1"/>
    </xf>
    <xf numFmtId="0" fontId="5" fillId="2" borderId="5" xfId="0" applyFont="1" applyFill="1" applyAlignment="1">
      <alignment horizontal="left" wrapText="1"/>
    </xf>
    <xf numFmtId="0" fontId="3" fillId="3" borderId="5" xfId="0" applyFont="1" applyFill="1" applyAlignment="1">
      <alignment horizontal="center" wrapText="1"/>
    </xf>
    <xf numFmtId="0" fontId="5" fillId="2" borderId="5" xfId="0" applyFont="1" applyFill="1" applyAlignment="1">
      <alignment wrapText="1"/>
    </xf>
    <xf numFmtId="0" fontId="6" fillId="2" borderId="5" xfId="0" applyFont="1" applyFill="1"/>
    <xf numFmtId="0" fontId="2" fillId="3" borderId="5" xfId="0" applyFont="1" applyFill="1" applyAlignment="1">
      <alignment horizontal="center" wrapText="1"/>
    </xf>
    <xf numFmtId="165" fontId="1" fillId="2" borderId="5" xfId="0" applyNumberFormat="1" applyFont="1" applyFill="1"/>
    <xf numFmtId="0" fontId="9" fillId="3" borderId="8" xfId="0" applyFont="1" applyFill="1" applyBorder="1" applyAlignment="1">
      <alignment vertical="top" wrapText="1"/>
    </xf>
    <xf numFmtId="0" fontId="0" fillId="0" borderId="14" xfId="0" applyBorder="1"/>
    <xf numFmtId="0" fontId="0" fillId="0" borderId="15" xfId="0" applyBorder="1"/>
    <xf numFmtId="0" fontId="9" fillId="3" borderId="8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9" fillId="4" borderId="8" xfId="0" applyFont="1" applyFill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top" wrapText="1"/>
    </xf>
    <xf numFmtId="0" fontId="9" fillId="4" borderId="8" xfId="0" applyFont="1" applyFill="1" applyBorder="1" applyAlignment="1">
      <alignment horizontal="center" vertical="top"/>
    </xf>
    <xf numFmtId="0" fontId="9" fillId="3" borderId="8" xfId="0" applyFont="1" applyFill="1" applyBorder="1" applyAlignment="1">
      <alignment vertical="top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10" fillId="0" borderId="5" xfId="0" applyNumberFormat="1" applyFont="1" applyAlignment="1">
      <alignment horizontal="center" vertical="center"/>
    </xf>
    <xf numFmtId="14" fontId="13" fillId="5" borderId="25" xfId="0" applyNumberFormat="1" applyFont="1" applyFill="1" applyBorder="1" applyAlignment="1">
      <alignment horizontal="center" vertical="center"/>
    </xf>
    <xf numFmtId="0" fontId="0" fillId="0" borderId="16" xfId="0" applyBorder="1"/>
    <xf numFmtId="14" fontId="12" fillId="0" borderId="5" xfId="0" applyNumberFormat="1" applyFont="1" applyAlignment="1">
      <alignment horizontal="center" vertical="center"/>
    </xf>
    <xf numFmtId="0" fontId="17" fillId="0" borderId="28" xfId="0" applyFont="1" applyBorder="1" applyAlignment="1">
      <alignment horizontal="left" vertical="center" wrapText="1"/>
    </xf>
    <xf numFmtId="0" fontId="0" fillId="0" borderId="22" xfId="0" applyBorder="1"/>
    <xf numFmtId="49" fontId="1" fillId="3" borderId="28" xfId="0" applyNumberFormat="1" applyFont="1" applyFill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  <xf numFmtId="0" fontId="1" fillId="8" borderId="28" xfId="0" applyFont="1" applyFill="1" applyBorder="1" applyAlignment="1">
      <alignment horizontal="center" vertical="center"/>
    </xf>
    <xf numFmtId="0" fontId="19" fillId="10" borderId="28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center" vertical="center"/>
    </xf>
    <xf numFmtId="0" fontId="19" fillId="11" borderId="28" xfId="0" applyFont="1" applyFill="1" applyBorder="1" applyAlignment="1">
      <alignment horizontal="left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center" vertical="center"/>
    </xf>
    <xf numFmtId="14" fontId="17" fillId="0" borderId="28" xfId="0" applyNumberFormat="1" applyFont="1" applyBorder="1" applyAlignment="1">
      <alignment horizontal="left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9" fillId="9" borderId="28" xfId="0" applyFont="1" applyFill="1" applyBorder="1" applyAlignment="1">
      <alignment horizontal="left" vertical="center" wrapText="1"/>
    </xf>
    <xf numFmtId="49" fontId="1" fillId="7" borderId="2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</xdr:col>
      <xdr:colOff>1216896</xdr:colOff>
      <xdr:row>33</xdr:row>
      <xdr:rowOff>180209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4360"/>
          <a:ext cx="3190476" cy="61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3</xdr:col>
      <xdr:colOff>1833869</xdr:colOff>
      <xdr:row>63</xdr:row>
      <xdr:rowOff>48880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30440"/>
          <a:ext cx="5171429" cy="52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2</xdr:col>
      <xdr:colOff>140706</xdr:colOff>
      <xdr:row>105</xdr:row>
      <xdr:rowOff>195249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274040"/>
          <a:ext cx="2114286" cy="77238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ca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ca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hung.vu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48"/>
  <sheetViews>
    <sheetView workbookViewId="0">
      <selection activeCell="E20" sqref="E20:G20"/>
    </sheetView>
  </sheetViews>
  <sheetFormatPr defaultColWidth="12.6640625" defaultRowHeight="15" customHeight="1" x14ac:dyDescent="0.25"/>
  <cols>
    <col min="1" max="1" width="4.6640625" style="57" customWidth="1"/>
    <col min="2" max="14" width="8.88671875" style="57" customWidth="1"/>
  </cols>
  <sheetData>
    <row r="1" spans="1:19" ht="13.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3"/>
      <c r="Q1" s="3"/>
      <c r="R1" s="3"/>
      <c r="S1" s="3"/>
    </row>
    <row r="2" spans="1:19" ht="13.8" customHeight="1" x14ac:dyDescent="0.25">
      <c r="A2" s="1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3"/>
      <c r="P2" s="3"/>
      <c r="Q2" s="3"/>
      <c r="R2" s="3"/>
      <c r="S2" s="3"/>
    </row>
    <row r="3" spans="1:19" ht="13.8" customHeight="1" x14ac:dyDescent="0.25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  <c r="O3" s="3"/>
      <c r="P3" s="3"/>
      <c r="Q3" s="3"/>
      <c r="R3" s="3"/>
      <c r="S3" s="3"/>
    </row>
    <row r="4" spans="1:19" ht="13.8" customHeight="1" x14ac:dyDescent="0.25">
      <c r="A4" s="1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3"/>
      <c r="P4" s="3"/>
      <c r="Q4" s="3"/>
      <c r="R4" s="3"/>
      <c r="S4" s="3"/>
    </row>
    <row r="5" spans="1:19" ht="13.8" customHeight="1" x14ac:dyDescent="0.25">
      <c r="A5" s="1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3"/>
      <c r="P5" s="3"/>
      <c r="Q5" s="3"/>
      <c r="R5" s="3"/>
      <c r="S5" s="3"/>
    </row>
    <row r="6" spans="1:19" ht="18" customHeight="1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3"/>
      <c r="P6" s="3"/>
      <c r="Q6" s="3"/>
      <c r="R6" s="3"/>
      <c r="S6" s="3"/>
    </row>
    <row r="7" spans="1:19" ht="22.5" customHeight="1" x14ac:dyDescent="0.25">
      <c r="A7" s="1"/>
      <c r="B7" s="4"/>
      <c r="C7" s="4"/>
      <c r="D7" s="4"/>
      <c r="E7" s="73" t="s">
        <v>0</v>
      </c>
      <c r="F7" s="67"/>
      <c r="G7" s="67"/>
      <c r="H7" s="67"/>
      <c r="I7" s="67"/>
      <c r="J7" s="67"/>
      <c r="K7" s="67"/>
      <c r="L7" s="4"/>
      <c r="M7" s="4"/>
      <c r="N7" s="5"/>
      <c r="O7" s="3"/>
      <c r="P7" s="3"/>
      <c r="Q7" s="3"/>
      <c r="R7" s="3"/>
      <c r="S7" s="3"/>
    </row>
    <row r="8" spans="1:19" ht="13.8" customHeight="1" x14ac:dyDescent="0.25">
      <c r="A8" s="1"/>
      <c r="B8" s="4"/>
      <c r="C8" s="4"/>
      <c r="D8" s="4"/>
      <c r="E8" s="67"/>
      <c r="F8" s="67"/>
      <c r="G8" s="67"/>
      <c r="H8" s="67"/>
      <c r="I8" s="67"/>
      <c r="J8" s="67"/>
      <c r="K8" s="67"/>
      <c r="L8" s="4"/>
      <c r="M8" s="4"/>
      <c r="N8" s="5"/>
      <c r="O8" s="3"/>
      <c r="P8" s="3"/>
      <c r="Q8" s="3"/>
      <c r="R8" s="3"/>
      <c r="S8" s="3"/>
    </row>
    <row r="9" spans="1:19" ht="13.8" customHeight="1" x14ac:dyDescent="0.25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3"/>
      <c r="P9" s="3"/>
      <c r="Q9" s="3"/>
      <c r="R9" s="3"/>
      <c r="S9" s="3"/>
    </row>
    <row r="10" spans="1:19" ht="13.8" customHeight="1" x14ac:dyDescent="0.25">
      <c r="A10" s="1"/>
      <c r="B10" s="4"/>
      <c r="C10" s="4"/>
      <c r="D10" s="4"/>
      <c r="E10" s="70" t="s">
        <v>1</v>
      </c>
      <c r="F10" s="67"/>
      <c r="G10" s="67"/>
      <c r="H10" s="67"/>
      <c r="I10" s="67"/>
      <c r="J10" s="67"/>
      <c r="K10" s="67"/>
      <c r="L10" s="4"/>
      <c r="M10" s="4"/>
      <c r="N10" s="5"/>
      <c r="O10" s="3"/>
      <c r="P10" s="3"/>
      <c r="Q10" s="3"/>
      <c r="R10" s="3"/>
      <c r="S10" s="3"/>
    </row>
    <row r="11" spans="1:19" ht="13.8" customHeight="1" x14ac:dyDescent="0.25">
      <c r="A11" s="1"/>
      <c r="B11" s="4"/>
      <c r="C11" s="4"/>
      <c r="D11" s="4"/>
      <c r="E11" s="67"/>
      <c r="F11" s="67"/>
      <c r="G11" s="67"/>
      <c r="H11" s="67"/>
      <c r="I11" s="67"/>
      <c r="J11" s="67"/>
      <c r="K11" s="67"/>
      <c r="L11" s="4"/>
      <c r="M11" s="4"/>
      <c r="N11" s="5"/>
      <c r="O11" s="3"/>
      <c r="P11" s="3"/>
      <c r="Q11" s="3"/>
      <c r="R11" s="3"/>
      <c r="S11" s="3"/>
    </row>
    <row r="12" spans="1:19" ht="13.8" customHeight="1" x14ac:dyDescent="0.25">
      <c r="A12" s="1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3"/>
      <c r="P12" s="3"/>
      <c r="Q12" s="3"/>
      <c r="R12" s="3"/>
      <c r="S12" s="3"/>
    </row>
    <row r="13" spans="1:19" ht="13.8" customHeight="1" x14ac:dyDescent="0.25">
      <c r="A13" s="1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3"/>
      <c r="P13" s="3"/>
      <c r="Q13" s="3"/>
      <c r="R13" s="3"/>
      <c r="S13" s="3"/>
    </row>
    <row r="14" spans="1:19" ht="13.8" customHeight="1" x14ac:dyDescent="0.25">
      <c r="A14" s="1"/>
      <c r="B14" s="4"/>
      <c r="C14" s="68" t="s">
        <v>2</v>
      </c>
      <c r="D14" s="67"/>
      <c r="E14" s="69" t="s">
        <v>1</v>
      </c>
      <c r="F14" s="67"/>
      <c r="G14" s="67"/>
      <c r="H14" s="4"/>
      <c r="I14" s="68" t="s">
        <v>3</v>
      </c>
      <c r="J14" s="67"/>
      <c r="K14" s="71" t="s">
        <v>4</v>
      </c>
      <c r="L14" s="67"/>
      <c r="M14" s="67"/>
      <c r="N14" s="5"/>
      <c r="O14" s="3"/>
      <c r="P14" s="3"/>
      <c r="Q14" s="3"/>
      <c r="R14" s="3"/>
      <c r="S14" s="3"/>
    </row>
    <row r="15" spans="1:19" ht="13.8" customHeight="1" x14ac:dyDescent="0.25">
      <c r="A15" s="1"/>
      <c r="B15" s="4"/>
      <c r="C15" s="68" t="s">
        <v>5</v>
      </c>
      <c r="D15" s="67"/>
      <c r="E15" s="69" t="s">
        <v>1</v>
      </c>
      <c r="F15" s="67"/>
      <c r="G15" s="67"/>
      <c r="H15" s="4"/>
      <c r="I15" s="68" t="s">
        <v>6</v>
      </c>
      <c r="J15" s="67"/>
      <c r="K15" s="71" t="s">
        <v>7</v>
      </c>
      <c r="L15" s="67"/>
      <c r="M15" s="67"/>
      <c r="N15" s="5"/>
      <c r="O15" s="3"/>
      <c r="P15" s="3"/>
      <c r="Q15" s="3"/>
      <c r="R15" s="3"/>
      <c r="S15" s="3"/>
    </row>
    <row r="16" spans="1:19" ht="13.8" customHeight="1" x14ac:dyDescent="0.25">
      <c r="A16" s="1"/>
      <c r="B16" s="4"/>
      <c r="C16" s="37" t="s">
        <v>8</v>
      </c>
      <c r="D16" s="37"/>
      <c r="E16" s="38"/>
      <c r="F16" s="38"/>
      <c r="G16" s="38"/>
      <c r="H16" s="4"/>
      <c r="I16" s="68" t="s">
        <v>9</v>
      </c>
      <c r="J16" s="67"/>
      <c r="K16" s="39"/>
      <c r="L16" s="39"/>
      <c r="M16" s="39"/>
      <c r="N16" s="5"/>
      <c r="O16" s="3"/>
      <c r="P16" s="3"/>
      <c r="Q16" s="3"/>
      <c r="R16" s="3"/>
      <c r="S16" s="3"/>
    </row>
    <row r="17" spans="1:19" ht="13.8" customHeight="1" x14ac:dyDescent="0.25">
      <c r="A17" s="1"/>
      <c r="B17" s="4"/>
      <c r="C17" s="68" t="s">
        <v>10</v>
      </c>
      <c r="D17" s="67"/>
      <c r="E17" s="69" t="s">
        <v>11</v>
      </c>
      <c r="F17" s="67"/>
      <c r="G17" s="67"/>
      <c r="H17" s="4"/>
      <c r="I17" s="68" t="s">
        <v>12</v>
      </c>
      <c r="J17" s="67"/>
      <c r="K17" s="72" t="s">
        <v>13</v>
      </c>
      <c r="L17" s="67"/>
      <c r="M17" s="67"/>
      <c r="N17" s="5"/>
      <c r="O17" s="3"/>
      <c r="P17" s="3"/>
      <c r="Q17" s="3"/>
      <c r="R17" s="3"/>
      <c r="S17" s="3"/>
    </row>
    <row r="18" spans="1:19" ht="13.8" customHeight="1" x14ac:dyDescent="0.25">
      <c r="A18" s="1"/>
      <c r="B18" s="4"/>
      <c r="C18" s="68" t="s">
        <v>6</v>
      </c>
      <c r="D18" s="67"/>
      <c r="E18" s="69" t="s">
        <v>14</v>
      </c>
      <c r="F18" s="67"/>
      <c r="G18" s="67"/>
      <c r="H18" s="4"/>
      <c r="I18" s="68" t="s">
        <v>6</v>
      </c>
      <c r="J18" s="67"/>
      <c r="K18" s="71" t="s">
        <v>15</v>
      </c>
      <c r="L18" s="67"/>
      <c r="M18" s="67"/>
      <c r="N18" s="5"/>
      <c r="O18" s="3"/>
      <c r="P18" s="3"/>
      <c r="Q18" s="3"/>
      <c r="R18" s="3"/>
      <c r="S18" s="3"/>
    </row>
    <row r="19" spans="1:19" ht="13.8" customHeight="1" x14ac:dyDescent="0.25">
      <c r="A19" s="1"/>
      <c r="B19" s="4"/>
      <c r="C19" s="68" t="s">
        <v>16</v>
      </c>
      <c r="D19" s="67"/>
      <c r="E19" s="66">
        <v>46153</v>
      </c>
      <c r="F19" s="67"/>
      <c r="G19" s="67"/>
      <c r="H19" s="4"/>
      <c r="I19" s="68" t="s">
        <v>17</v>
      </c>
      <c r="J19" s="67"/>
      <c r="K19" s="71"/>
      <c r="L19" s="67"/>
      <c r="M19" s="67"/>
      <c r="N19" s="5"/>
      <c r="O19" s="3"/>
      <c r="P19" s="3"/>
      <c r="Q19" s="3"/>
      <c r="R19" s="3"/>
      <c r="S19" s="3"/>
    </row>
    <row r="20" spans="1:19" ht="13.8" customHeight="1" x14ac:dyDescent="0.25">
      <c r="A20" s="1"/>
      <c r="B20" s="4"/>
      <c r="C20" s="68" t="s">
        <v>18</v>
      </c>
      <c r="D20" s="67"/>
      <c r="E20" s="69">
        <v>0.2</v>
      </c>
      <c r="F20" s="67"/>
      <c r="G20" s="67"/>
      <c r="H20" s="4"/>
      <c r="I20" s="68"/>
      <c r="J20" s="67"/>
      <c r="K20" s="74"/>
      <c r="L20" s="67"/>
      <c r="M20" s="67"/>
      <c r="N20" s="5"/>
      <c r="O20" s="3"/>
      <c r="P20" s="3"/>
      <c r="Q20" s="3"/>
      <c r="R20" s="3"/>
      <c r="S20" s="3"/>
    </row>
    <row r="21" spans="1:19" ht="13.8" customHeight="1" x14ac:dyDescent="0.25">
      <c r="A21" s="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3"/>
      <c r="P21" s="3"/>
      <c r="Q21" s="3"/>
      <c r="R21" s="3"/>
      <c r="S21" s="3"/>
    </row>
    <row r="22" spans="1:19" ht="13.8" customHeight="1" x14ac:dyDescent="0.25">
      <c r="A22" s="1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3"/>
      <c r="P22" s="3"/>
      <c r="Q22" s="3"/>
      <c r="R22" s="3"/>
      <c r="S22" s="3"/>
    </row>
    <row r="23" spans="1:19" ht="13.8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/>
      <c r="O23" s="3"/>
      <c r="P23" s="3"/>
      <c r="Q23" s="3"/>
      <c r="R23" s="3"/>
      <c r="S23" s="3"/>
    </row>
    <row r="24" spans="1:19" ht="13.8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spans="1:19" ht="13.8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spans="1:19" ht="13.8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19" ht="13.8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19" ht="13.8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1:19" ht="13.8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1:19" ht="13.8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1:19" ht="13.8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spans="1:19" ht="13.8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spans="1:19" ht="13.8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spans="1:19" ht="13.8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spans="1:19" ht="13.8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spans="1:19" ht="13.8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spans="1:19" ht="13.8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spans="1:19" ht="13.8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spans="1:19" ht="13.8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spans="1:19" ht="13.8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 spans="1:19" ht="13.8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spans="1:19" ht="13.8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spans="1:19" ht="13.8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spans="1:19" ht="13.8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spans="1:19" ht="13.8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spans="1:19" ht="13.8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spans="1:19" ht="13.8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spans="1:19" ht="13.8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</row>
    <row r="49" spans="1:19" ht="13.8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1:19" ht="13.8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  <row r="51" spans="1:19" ht="13.8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 spans="1:19" ht="13.8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spans="1:19" ht="13.8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</row>
    <row r="54" spans="1:19" ht="13.8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spans="1:19" ht="13.8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</row>
    <row r="56" spans="1:19" ht="13.8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</row>
    <row r="57" spans="1:19" ht="13.8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</row>
    <row r="58" spans="1:19" ht="13.8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</row>
    <row r="59" spans="1:19" ht="13.8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ht="13.8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19" ht="13.8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</row>
    <row r="62" spans="1:19" ht="13.8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</row>
    <row r="63" spans="1:19" ht="13.8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</row>
    <row r="64" spans="1:19" ht="13.8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</row>
    <row r="65" spans="1:19" ht="13.8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66" spans="1:19" ht="13.8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</row>
    <row r="67" spans="1:19" ht="13.8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</row>
    <row r="68" spans="1:19" ht="13.8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ht="13.8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</row>
    <row r="70" spans="1:19" ht="13.8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 spans="1:19" ht="13.8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 spans="1:19" ht="13.8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 spans="1:19" ht="13.8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</row>
    <row r="74" spans="1:19" ht="13.8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 spans="1:19" ht="13.8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 spans="1:19" ht="13.8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</row>
    <row r="77" spans="1:19" ht="13.8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</row>
    <row r="78" spans="1:19" ht="13.8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 spans="1:19" ht="13.8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</row>
    <row r="80" spans="1:19" ht="13.8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 spans="1:19" ht="13.8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spans="1:19" ht="13.8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spans="1:19" ht="13.8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 spans="1:19" ht="13.8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spans="1:19" ht="13.8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spans="1:19" ht="13.8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spans="1:19" ht="13.8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spans="1:19" ht="13.8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 spans="1:19" ht="13.8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spans="1:19" ht="13.8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</row>
    <row r="91" spans="1:19" ht="13.8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spans="1:19" ht="13.8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</row>
    <row r="93" spans="1:19" ht="13.8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</row>
    <row r="94" spans="1:19" ht="13.8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</row>
    <row r="95" spans="1:19" ht="13.8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 spans="1:19" ht="13.8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 spans="1:19" ht="13.8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 spans="1:19" ht="13.8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 spans="1:19" ht="13.8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 spans="1:19" ht="13.8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 spans="1:19" ht="13.8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 spans="1:19" ht="13.8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 spans="1:19" ht="13.8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 spans="1:19" ht="13.8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</row>
    <row r="105" spans="1:19" ht="13.8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</row>
    <row r="106" spans="1:19" ht="13.8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 spans="1:19" ht="13.8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 spans="1:19" ht="13.8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 spans="1:19" ht="13.8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 spans="1:19" ht="13.8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 spans="1:19" ht="13.8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 spans="1:19" ht="13.8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 spans="1:19" ht="13.8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 spans="1:19" ht="13.8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 spans="1:19" ht="13.8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 spans="1:19" ht="13.8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 spans="1:19" ht="13.8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 spans="1:19" ht="13.8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 spans="1:19" ht="13.8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 spans="1:19" ht="13.8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 spans="1:19" ht="13.8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 spans="1:19" ht="13.8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 spans="1:19" ht="13.8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 spans="1:19" ht="13.8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 spans="1:19" ht="13.8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 spans="1:19" ht="13.8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 spans="1:19" ht="13.8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 spans="1:19" ht="13.8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 spans="1:19" ht="13.8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 spans="1:19" ht="13.8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 spans="1:19" ht="13.8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 spans="1:19" ht="13.8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 spans="1:19" ht="13.8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 spans="1:19" ht="13.8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 spans="1:19" ht="13.8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 spans="1:19" ht="13.8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 spans="1:19" ht="13.8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 spans="1:19" ht="13.8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 spans="1:19" ht="13.8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 spans="1:19" ht="13.8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 spans="1:19" ht="13.8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 spans="1:19" ht="13.8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 spans="1:19" ht="13.8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 spans="1:19" ht="13.8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 spans="1:19" ht="13.8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 spans="1:19" ht="13.8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 spans="1:19" ht="13.8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 spans="1:19" ht="13.8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</row>
  </sheetData>
  <mergeCells count="27">
    <mergeCell ref="E7:K8"/>
    <mergeCell ref="K18:M18"/>
    <mergeCell ref="I14:J14"/>
    <mergeCell ref="C17:D17"/>
    <mergeCell ref="I17:J17"/>
    <mergeCell ref="K15:M15"/>
    <mergeCell ref="E14:G14"/>
    <mergeCell ref="E17:G17"/>
    <mergeCell ref="C18:D18"/>
    <mergeCell ref="E10:K11"/>
    <mergeCell ref="C20:D20"/>
    <mergeCell ref="I16:J16"/>
    <mergeCell ref="K14:M14"/>
    <mergeCell ref="K17:M17"/>
    <mergeCell ref="I18:J18"/>
    <mergeCell ref="K19:M19"/>
    <mergeCell ref="E18:G18"/>
    <mergeCell ref="I20:J20"/>
    <mergeCell ref="K20:M20"/>
    <mergeCell ref="C19:D19"/>
    <mergeCell ref="I19:J19"/>
    <mergeCell ref="E20:G20"/>
    <mergeCell ref="E19:G19"/>
    <mergeCell ref="C15:D15"/>
    <mergeCell ref="I15:J15"/>
    <mergeCell ref="C14:D14"/>
    <mergeCell ref="E15:G15"/>
  </mergeCells>
  <hyperlinks>
    <hyperlink ref="K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998"/>
  <sheetViews>
    <sheetView workbookViewId="0">
      <selection activeCell="H19" sqref="H19"/>
    </sheetView>
  </sheetViews>
  <sheetFormatPr defaultColWidth="12.6640625" defaultRowHeight="15" customHeight="1" x14ac:dyDescent="0.25"/>
  <cols>
    <col min="1" max="1" width="3.21875" style="57" customWidth="1"/>
    <col min="2" max="2" width="14.6640625" style="57" customWidth="1"/>
    <col min="3" max="3" width="11.109375" style="57" customWidth="1"/>
    <col min="4" max="4" width="21.77734375" style="57" customWidth="1"/>
    <col min="5" max="5" width="9" style="57" customWidth="1"/>
    <col min="6" max="6" width="12.33203125" style="57" customWidth="1"/>
    <col min="7" max="7" width="10.33203125" style="57" customWidth="1"/>
    <col min="8" max="9" width="11.21875" style="57" customWidth="1"/>
    <col min="10" max="10" width="10.6640625" style="57" customWidth="1"/>
    <col min="11" max="11" width="11.77734375" style="57" customWidth="1"/>
    <col min="12" max="12" width="20.33203125" style="57" customWidth="1"/>
    <col min="13" max="13" width="8.77734375" style="57" customWidth="1"/>
    <col min="14" max="14" width="8.109375" style="57" customWidth="1"/>
    <col min="15" max="15" width="10.6640625" style="57" customWidth="1"/>
    <col min="16" max="16" width="5.88671875" style="57" customWidth="1"/>
    <col min="17" max="17" width="4.6640625" style="57" customWidth="1"/>
  </cols>
  <sheetData>
    <row r="1" spans="1:29" ht="39" customHeight="1" x14ac:dyDescent="0.25">
      <c r="A1" s="33"/>
      <c r="B1" s="82" t="s">
        <v>19</v>
      </c>
      <c r="C1" s="79"/>
      <c r="D1" s="79"/>
      <c r="E1" s="79"/>
      <c r="F1" s="79"/>
      <c r="G1" s="79"/>
      <c r="H1" s="79"/>
      <c r="I1" s="79"/>
      <c r="J1" s="80"/>
      <c r="K1" s="33"/>
      <c r="L1" s="33"/>
      <c r="M1" s="33"/>
      <c r="N1" s="33"/>
      <c r="O1" s="33"/>
      <c r="P1" s="33"/>
      <c r="Q1" s="33"/>
      <c r="R1" s="33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15.75" customHeight="1" x14ac:dyDescent="0.25">
      <c r="A2" s="33"/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 t="s">
        <v>25</v>
      </c>
      <c r="H2" s="9" t="s">
        <v>26</v>
      </c>
      <c r="I2" s="9" t="s">
        <v>27</v>
      </c>
      <c r="J2" s="9" t="s">
        <v>28</v>
      </c>
      <c r="K2" s="33"/>
      <c r="L2" s="33"/>
      <c r="M2" s="33"/>
      <c r="N2" s="33"/>
      <c r="O2" s="33"/>
      <c r="P2" s="33"/>
      <c r="Q2" s="33"/>
      <c r="R2" s="33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</row>
    <row r="3" spans="1:29" ht="15.75" customHeight="1" x14ac:dyDescent="0.25">
      <c r="A3" s="33"/>
      <c r="B3" s="11" t="s">
        <v>29</v>
      </c>
      <c r="C3" s="10">
        <f>IFERROR((F3+G3)/(E3-H3-I3),0)</f>
        <v>0</v>
      </c>
      <c r="D3" s="10">
        <f>IFERROR((F3)/(E3-H3-I3),0)</f>
        <v>0</v>
      </c>
      <c r="E3" s="11" t="e">
        <f>SUM(F3:J3)</f>
        <v>#REF!</v>
      </c>
      <c r="F3" s="11" t="e">
        <f>[1]Testcase!J1+[1]Testcase!M1</f>
        <v>#REF!</v>
      </c>
      <c r="G3" s="11" t="e">
        <f>[1]Testcase!J2+[1]Testcase!M2</f>
        <v>#REF!</v>
      </c>
      <c r="H3" s="11" t="e">
        <f>[1]Testcase!J5+[1]Testcase!M5</f>
        <v>#REF!</v>
      </c>
      <c r="I3" s="11" t="e">
        <f>[1]Testcase!J4+[1]Testcase!M4</f>
        <v>#REF!</v>
      </c>
      <c r="J3" s="11" t="e">
        <f>[1]Testcase!J3+[1]Testcase!M3</f>
        <v>#REF!</v>
      </c>
      <c r="K3" s="33"/>
      <c r="L3" s="33"/>
      <c r="M3" s="33"/>
      <c r="N3" s="33"/>
      <c r="O3" s="33"/>
      <c r="P3" s="33"/>
      <c r="Q3" s="33"/>
      <c r="R3" s="33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 spans="1:29" ht="15.75" customHeight="1" x14ac:dyDescent="0.25">
      <c r="A4" s="33"/>
      <c r="B4" s="11"/>
      <c r="C4" s="10"/>
      <c r="D4" s="10"/>
      <c r="E4" s="11"/>
      <c r="F4" s="11"/>
      <c r="G4" s="11"/>
      <c r="H4" s="11"/>
      <c r="I4" s="11"/>
      <c r="J4" s="11"/>
      <c r="K4" s="33"/>
      <c r="L4" s="33"/>
      <c r="M4" s="33"/>
      <c r="N4" s="33"/>
      <c r="O4" s="33"/>
      <c r="P4" s="33"/>
      <c r="Q4" s="33"/>
      <c r="R4" s="33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29" ht="15.75" customHeight="1" x14ac:dyDescent="0.25">
      <c r="A5" s="33"/>
      <c r="B5" s="11"/>
      <c r="C5" s="10"/>
      <c r="D5" s="10"/>
      <c r="E5" s="11"/>
      <c r="F5" s="11"/>
      <c r="G5" s="11"/>
      <c r="H5" s="11"/>
      <c r="I5" s="11"/>
      <c r="J5" s="11"/>
      <c r="K5" s="33"/>
      <c r="L5" s="33"/>
      <c r="M5" s="33"/>
      <c r="N5" s="33"/>
      <c r="O5" s="33"/>
      <c r="P5" s="33"/>
      <c r="Q5" s="33"/>
      <c r="R5" s="33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spans="1:29" ht="15.75" customHeight="1" x14ac:dyDescent="0.25">
      <c r="A6" s="33"/>
      <c r="B6" s="11"/>
      <c r="C6" s="10"/>
      <c r="D6" s="10"/>
      <c r="E6" s="11"/>
      <c r="F6" s="11"/>
      <c r="G6" s="11"/>
      <c r="H6" s="11"/>
      <c r="I6" s="11"/>
      <c r="J6" s="11"/>
      <c r="K6" s="33"/>
      <c r="L6" s="33"/>
      <c r="M6" s="33"/>
      <c r="N6" s="33"/>
      <c r="O6" s="33"/>
      <c r="P6" s="33"/>
      <c r="Q6" s="33"/>
      <c r="R6" s="33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 spans="1:29" ht="15.75" customHeight="1" x14ac:dyDescent="0.25">
      <c r="A7" s="33"/>
      <c r="B7" s="11"/>
      <c r="C7" s="10"/>
      <c r="D7" s="10"/>
      <c r="E7" s="11"/>
      <c r="F7" s="11"/>
      <c r="G7" s="11"/>
      <c r="H7" s="11"/>
      <c r="I7" s="11"/>
      <c r="J7" s="11"/>
      <c r="K7" s="33"/>
      <c r="L7" s="33"/>
      <c r="M7" s="33"/>
      <c r="N7" s="33"/>
      <c r="O7" s="33"/>
      <c r="P7" s="33"/>
      <c r="Q7" s="33"/>
      <c r="R7" s="33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 ht="15.75" customHeight="1" x14ac:dyDescent="0.25">
      <c r="A8" s="33"/>
      <c r="B8" s="11"/>
      <c r="C8" s="10"/>
      <c r="D8" s="10"/>
      <c r="E8" s="11"/>
      <c r="F8" s="11"/>
      <c r="G8" s="11"/>
      <c r="H8" s="11"/>
      <c r="I8" s="11"/>
      <c r="J8" s="11"/>
      <c r="K8" s="33"/>
      <c r="L8" s="33"/>
      <c r="M8" s="33"/>
      <c r="N8" s="33"/>
      <c r="O8" s="33"/>
      <c r="P8" s="33"/>
      <c r="Q8" s="33"/>
      <c r="R8" s="33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 ht="15.75" customHeight="1" x14ac:dyDescent="0.25">
      <c r="A9" s="33"/>
      <c r="B9" s="9" t="s">
        <v>30</v>
      </c>
      <c r="C9" s="12">
        <f>IFERROR((F9+G9)/(E9-H9-I9),0)</f>
        <v>0</v>
      </c>
      <c r="D9" s="12">
        <f>IFERROR((F9)/(E9-H9-I9),0)</f>
        <v>0</v>
      </c>
      <c r="E9" s="9" t="e">
        <f t="shared" ref="E9:J9" si="0">SUM(E3:E8)</f>
        <v>#REF!</v>
      </c>
      <c r="F9" s="9" t="e">
        <f t="shared" si="0"/>
        <v>#REF!</v>
      </c>
      <c r="G9" s="9" t="e">
        <f t="shared" si="0"/>
        <v>#REF!</v>
      </c>
      <c r="H9" s="9" t="e">
        <f t="shared" si="0"/>
        <v>#REF!</v>
      </c>
      <c r="I9" s="9" t="e">
        <f t="shared" si="0"/>
        <v>#REF!</v>
      </c>
      <c r="J9" s="9" t="e">
        <f t="shared" si="0"/>
        <v>#REF!</v>
      </c>
      <c r="K9" s="33"/>
      <c r="L9" s="33"/>
      <c r="M9" s="33"/>
      <c r="N9" s="33"/>
      <c r="O9" s="33"/>
      <c r="P9" s="33"/>
      <c r="Q9" s="33"/>
      <c r="R9" s="33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 ht="13.2" customHeight="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 ht="13.2" customHeight="1" x14ac:dyDescent="0.25">
      <c r="A11" s="13"/>
      <c r="B11" s="82" t="s">
        <v>31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7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 ht="13.2" customHeight="1" x14ac:dyDescent="0.25">
      <c r="A12" s="13"/>
      <c r="B12" s="88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90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 ht="26.25" customHeight="1" x14ac:dyDescent="0.25">
      <c r="A13" s="14"/>
      <c r="B13" s="78" t="s">
        <v>32</v>
      </c>
      <c r="C13" s="83" t="s">
        <v>20</v>
      </c>
      <c r="D13" s="83" t="s">
        <v>33</v>
      </c>
      <c r="E13" s="85" t="s">
        <v>8</v>
      </c>
      <c r="F13" s="75" t="s">
        <v>34</v>
      </c>
      <c r="G13" s="75" t="s">
        <v>35</v>
      </c>
      <c r="H13" s="78" t="s">
        <v>36</v>
      </c>
      <c r="I13" s="79"/>
      <c r="J13" s="79"/>
      <c r="K13" s="80"/>
      <c r="L13" s="84" t="s">
        <v>37</v>
      </c>
      <c r="M13" s="79"/>
      <c r="N13" s="79"/>
      <c r="O13" s="79"/>
      <c r="P13" s="79"/>
      <c r="Q13" s="79"/>
      <c r="R13" s="80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spans="1:29" ht="27.75" customHeight="1" x14ac:dyDescent="0.25">
      <c r="A14" s="14"/>
      <c r="B14" s="76"/>
      <c r="C14" s="76"/>
      <c r="D14" s="76"/>
      <c r="E14" s="76"/>
      <c r="F14" s="76"/>
      <c r="G14" s="76"/>
      <c r="H14" s="83" t="s">
        <v>38</v>
      </c>
      <c r="I14" s="83" t="s">
        <v>39</v>
      </c>
      <c r="J14" s="83" t="s">
        <v>40</v>
      </c>
      <c r="K14" s="83" t="s">
        <v>41</v>
      </c>
      <c r="L14" s="81" t="s">
        <v>42</v>
      </c>
      <c r="M14" s="81" t="s">
        <v>43</v>
      </c>
      <c r="N14" s="81" t="s">
        <v>44</v>
      </c>
      <c r="O14" s="81" t="s">
        <v>45</v>
      </c>
      <c r="P14" s="81" t="s">
        <v>46</v>
      </c>
      <c r="Q14" s="81" t="s">
        <v>40</v>
      </c>
      <c r="R14" s="81" t="s">
        <v>41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spans="1:29" ht="36.75" customHeight="1" x14ac:dyDescent="0.25">
      <c r="A15" s="14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 spans="1:29" ht="26.4" customHeight="1" x14ac:dyDescent="0.25">
      <c r="A16" s="14"/>
      <c r="B16" s="15">
        <f>ROW()-6</f>
        <v>10</v>
      </c>
      <c r="C16" s="16" t="s">
        <v>29</v>
      </c>
      <c r="D16" s="16" t="s">
        <v>47</v>
      </c>
      <c r="E16" s="17"/>
      <c r="F16" s="17"/>
      <c r="G16" s="17"/>
      <c r="H16" s="17"/>
      <c r="I16" s="17"/>
      <c r="J16" s="17" t="s">
        <v>11</v>
      </c>
      <c r="K16" s="17" t="s">
        <v>48</v>
      </c>
      <c r="L16" s="17"/>
      <c r="M16" s="40"/>
      <c r="N16" s="40"/>
      <c r="O16" s="17"/>
      <c r="P16" s="18">
        <f>L16+N16</f>
        <v>0</v>
      </c>
      <c r="Q16" s="17"/>
      <c r="R16" s="17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 spans="1:29" ht="15.75" customHeight="1" x14ac:dyDescent="0.2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spans="1:29" ht="15.75" customHeight="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spans="1:29" ht="15.75" customHeight="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spans="1:29" ht="15.75" customHeight="1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spans="1:29" ht="15.75" customHeight="1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spans="1:29" ht="15.75" customHeight="1" x14ac:dyDescent="0.25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spans="1:29" ht="15.75" customHeight="1" x14ac:dyDescent="0.2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spans="1:29" ht="15.75" customHeight="1" x14ac:dyDescent="0.25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spans="1:29" ht="15.75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spans="1:29" ht="15.75" customHeight="1" x14ac:dyDescent="0.2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ht="15.75" customHeight="1" x14ac:dyDescent="0.2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spans="1:29" ht="15.75" customHeight="1" x14ac:dyDescent="0.2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spans="1:29" ht="15.75" customHeight="1" x14ac:dyDescent="0.2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spans="1:29" ht="15.75" customHeight="1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spans="1:29" ht="15.75" customHeight="1" x14ac:dyDescent="0.2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spans="1:29" ht="15.75" customHeight="1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spans="1:29" ht="15.75" customHeight="1" x14ac:dyDescent="0.2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spans="1:29" ht="15.75" customHeight="1" x14ac:dyDescent="0.2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spans="1:29" ht="15.75" customHeight="1" x14ac:dyDescent="0.2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 spans="1:29" ht="15.75" customHeight="1" x14ac:dyDescent="0.2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 spans="1:29" ht="15.75" customHeight="1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 spans="1:29" ht="15.75" customHeight="1" x14ac:dyDescent="0.25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 spans="1:29" ht="15.75" customHeight="1" x14ac:dyDescent="0.2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 spans="1:29" ht="15.75" customHeight="1" x14ac:dyDescent="0.2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spans="1:29" ht="15.75" customHeight="1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 spans="1:29" ht="15.75" customHeight="1" x14ac:dyDescent="0.2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</row>
    <row r="43" spans="1:29" ht="15.75" customHeight="1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</row>
    <row r="44" spans="1:29" ht="15.75" customHeight="1" x14ac:dyDescent="0.2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</row>
    <row r="45" spans="1:29" ht="15.75" customHeight="1" x14ac:dyDescent="0.2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 spans="1:29" ht="15.75" customHeight="1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 spans="1:29" ht="15.75" customHeight="1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</row>
    <row r="48" spans="1:29" ht="15.75" customHeight="1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</row>
    <row r="49" spans="1:29" ht="15.75" customHeight="1" x14ac:dyDescent="0.2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</row>
    <row r="50" spans="1:29" ht="15.75" customHeight="1" x14ac:dyDescent="0.2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</row>
    <row r="51" spans="1:29" ht="15.75" customHeight="1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</row>
    <row r="52" spans="1:29" ht="15.75" customHeight="1" x14ac:dyDescent="0.2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</row>
    <row r="53" spans="1:29" ht="15.75" customHeight="1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</row>
    <row r="54" spans="1:29" ht="15.75" customHeight="1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</row>
    <row r="55" spans="1:29" ht="15.75" customHeight="1" x14ac:dyDescent="0.2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</row>
    <row r="56" spans="1:29" ht="15.75" customHeight="1" x14ac:dyDescent="0.2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</row>
    <row r="57" spans="1:29" ht="15.75" customHeight="1" x14ac:dyDescent="0.2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 spans="1:29" ht="15.75" customHeight="1" x14ac:dyDescent="0.2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</row>
    <row r="59" spans="1:29" ht="15.75" customHeight="1" x14ac:dyDescent="0.2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</row>
    <row r="60" spans="1:29" ht="15.75" customHeight="1" x14ac:dyDescent="0.2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</row>
    <row r="61" spans="1:29" ht="15.75" customHeight="1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</row>
    <row r="62" spans="1:29" ht="15.75" customHeight="1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</row>
    <row r="63" spans="1:29" ht="15.75" customHeight="1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 spans="1:29" ht="15.75" customHeight="1" x14ac:dyDescent="0.2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</row>
    <row r="65" spans="1:29" ht="15.75" customHeight="1" x14ac:dyDescent="0.2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</row>
    <row r="66" spans="1:29" ht="15.75" customHeight="1" x14ac:dyDescent="0.2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</row>
    <row r="67" spans="1:29" ht="15.75" customHeight="1" x14ac:dyDescent="0.2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</row>
    <row r="68" spans="1:29" ht="15.75" customHeight="1" x14ac:dyDescent="0.2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</row>
    <row r="69" spans="1:29" ht="15.75" customHeight="1" x14ac:dyDescent="0.2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</row>
    <row r="70" spans="1:29" ht="15.75" customHeight="1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</row>
    <row r="71" spans="1:29" ht="15.75" customHeight="1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</row>
    <row r="72" spans="1:29" ht="15.75" customHeight="1" x14ac:dyDescent="0.2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</row>
    <row r="73" spans="1:29" ht="15.75" customHeight="1" x14ac:dyDescent="0.2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</row>
    <row r="74" spans="1:29" ht="15.75" customHeight="1" x14ac:dyDescent="0.2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</row>
    <row r="75" spans="1:29" ht="15.75" customHeight="1" x14ac:dyDescent="0.2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</row>
    <row r="76" spans="1:29" ht="15.75" customHeight="1" x14ac:dyDescent="0.2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</row>
    <row r="77" spans="1:29" ht="15.75" customHeight="1" x14ac:dyDescent="0.2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</row>
    <row r="78" spans="1:29" ht="15.75" customHeight="1" x14ac:dyDescent="0.2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</row>
    <row r="79" spans="1:29" ht="15.75" customHeight="1" x14ac:dyDescent="0.25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</row>
    <row r="80" spans="1:29" ht="15.75" customHeight="1" x14ac:dyDescent="0.2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</row>
    <row r="81" spans="1:29" ht="15.75" customHeight="1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</row>
    <row r="82" spans="1:29" ht="15.75" customHeight="1" x14ac:dyDescent="0.2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</row>
    <row r="83" spans="1:29" ht="15.75" customHeight="1" x14ac:dyDescent="0.2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</row>
    <row r="84" spans="1:29" ht="15.75" customHeight="1" x14ac:dyDescent="0.2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</row>
    <row r="85" spans="1:29" ht="15.75" customHeight="1" x14ac:dyDescent="0.2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</row>
    <row r="86" spans="1:29" ht="15.75" customHeight="1" x14ac:dyDescent="0.2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</row>
    <row r="87" spans="1:29" ht="15.75" customHeight="1" x14ac:dyDescent="0.2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</row>
    <row r="88" spans="1:29" ht="15.75" customHeight="1" x14ac:dyDescent="0.2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</row>
    <row r="89" spans="1:29" ht="15.75" customHeight="1" x14ac:dyDescent="0.2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</row>
    <row r="90" spans="1:29" ht="15.75" customHeight="1" x14ac:dyDescent="0.2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</row>
    <row r="91" spans="1:29" ht="15.75" customHeight="1" x14ac:dyDescent="0.2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</row>
    <row r="92" spans="1:29" ht="15.75" customHeight="1" x14ac:dyDescent="0.2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</row>
    <row r="93" spans="1:29" ht="15.75" customHeight="1" x14ac:dyDescent="0.2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</row>
    <row r="94" spans="1:29" ht="15.75" customHeight="1" x14ac:dyDescent="0.2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</row>
    <row r="95" spans="1:29" ht="15.75" customHeight="1" x14ac:dyDescent="0.2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</row>
    <row r="96" spans="1:29" ht="15.75" customHeight="1" x14ac:dyDescent="0.2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</row>
    <row r="97" spans="1:29" ht="15.75" customHeight="1" x14ac:dyDescent="0.2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</row>
    <row r="98" spans="1:29" ht="15.75" customHeight="1" x14ac:dyDescent="0.2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</row>
    <row r="99" spans="1:29" ht="15.75" customHeight="1" x14ac:dyDescent="0.2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</row>
    <row r="100" spans="1:29" ht="15.75" customHeight="1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</row>
    <row r="101" spans="1:29" ht="15.75" customHeight="1" x14ac:dyDescent="0.2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</row>
    <row r="102" spans="1:29" ht="15.75" customHeight="1" x14ac:dyDescent="0.2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</row>
    <row r="103" spans="1:29" ht="15.75" customHeight="1" x14ac:dyDescent="0.2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</row>
    <row r="104" spans="1:29" ht="15.75" customHeight="1" x14ac:dyDescent="0.2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</row>
    <row r="105" spans="1:29" ht="15.75" customHeight="1" x14ac:dyDescent="0.2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</row>
    <row r="106" spans="1:29" ht="15.75" customHeight="1" x14ac:dyDescent="0.2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</row>
    <row r="107" spans="1:29" ht="15.75" customHeight="1" x14ac:dyDescent="0.2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</row>
    <row r="108" spans="1:29" ht="15.75" customHeight="1" x14ac:dyDescent="0.2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</row>
    <row r="109" spans="1:29" ht="15.75" customHeight="1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</row>
    <row r="110" spans="1:29" ht="15.75" customHeight="1" x14ac:dyDescent="0.2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</row>
    <row r="111" spans="1:29" ht="15.75" customHeight="1" x14ac:dyDescent="0.2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</row>
    <row r="112" spans="1:29" ht="15.75" customHeight="1" x14ac:dyDescent="0.2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</row>
    <row r="113" spans="1:29" ht="15.75" customHeight="1" x14ac:dyDescent="0.2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</row>
    <row r="114" spans="1:29" ht="15.75" customHeight="1" x14ac:dyDescent="0.2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</row>
    <row r="115" spans="1:29" ht="15.75" customHeight="1" x14ac:dyDescent="0.2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</row>
    <row r="116" spans="1:29" ht="15.75" customHeight="1" x14ac:dyDescent="0.2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</row>
    <row r="117" spans="1:29" ht="15.75" customHeight="1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</row>
    <row r="118" spans="1:29" ht="15.75" customHeight="1" x14ac:dyDescent="0.2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</row>
    <row r="119" spans="1:29" ht="15.75" customHeight="1" x14ac:dyDescent="0.2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</row>
    <row r="120" spans="1:29" ht="15.75" customHeight="1" x14ac:dyDescent="0.2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</row>
    <row r="121" spans="1:29" ht="15.75" customHeight="1" x14ac:dyDescent="0.25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</row>
    <row r="122" spans="1:29" ht="15.75" customHeight="1" x14ac:dyDescent="0.25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</row>
    <row r="123" spans="1:29" ht="15.75" customHeight="1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</row>
    <row r="124" spans="1:29" ht="15.75" customHeight="1" x14ac:dyDescent="0.25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</row>
    <row r="125" spans="1:29" ht="15.75" customHeight="1" x14ac:dyDescent="0.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</row>
    <row r="126" spans="1:29" ht="15.75" customHeight="1" x14ac:dyDescent="0.25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</row>
    <row r="127" spans="1:29" ht="15.75" customHeight="1" x14ac:dyDescent="0.25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</row>
    <row r="128" spans="1:29" ht="15.75" customHeight="1" x14ac:dyDescent="0.25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</row>
    <row r="129" spans="1:29" ht="15.75" customHeight="1" x14ac:dyDescent="0.25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</row>
    <row r="130" spans="1:29" ht="15.75" customHeight="1" x14ac:dyDescent="0.25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</row>
    <row r="131" spans="1:29" ht="15.75" customHeight="1" x14ac:dyDescent="0.25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</row>
    <row r="132" spans="1:29" ht="15.75" customHeight="1" x14ac:dyDescent="0.25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</row>
    <row r="133" spans="1:29" ht="15.75" customHeight="1" x14ac:dyDescent="0.25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</row>
    <row r="134" spans="1:29" ht="15.75" customHeight="1" x14ac:dyDescent="0.25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</row>
    <row r="135" spans="1:29" ht="15.75" customHeight="1" x14ac:dyDescent="0.2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</row>
    <row r="136" spans="1:29" ht="15.75" customHeight="1" x14ac:dyDescent="0.25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</row>
    <row r="137" spans="1:29" ht="15.75" customHeight="1" x14ac:dyDescent="0.25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</row>
    <row r="138" spans="1:29" ht="15.75" customHeight="1" x14ac:dyDescent="0.25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</row>
    <row r="139" spans="1:29" ht="15.75" customHeight="1" x14ac:dyDescent="0.25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</row>
    <row r="140" spans="1:29" ht="15.75" customHeight="1" x14ac:dyDescent="0.25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</row>
    <row r="141" spans="1:29" ht="15.75" customHeight="1" x14ac:dyDescent="0.25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</row>
    <row r="142" spans="1:29" ht="15.75" customHeight="1" x14ac:dyDescent="0.25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</row>
    <row r="143" spans="1:29" ht="15.75" customHeight="1" x14ac:dyDescent="0.25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</row>
    <row r="144" spans="1:29" ht="15.75" customHeight="1" x14ac:dyDescent="0.25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</row>
    <row r="145" spans="1:29" ht="15.75" customHeight="1" x14ac:dyDescent="0.2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</row>
    <row r="146" spans="1:29" ht="15.75" customHeight="1" x14ac:dyDescent="0.25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</row>
    <row r="147" spans="1:29" ht="15.75" customHeight="1" x14ac:dyDescent="0.25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</row>
    <row r="148" spans="1:29" ht="15.75" customHeight="1" x14ac:dyDescent="0.25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</row>
    <row r="149" spans="1:29" ht="15.75" customHeight="1" x14ac:dyDescent="0.25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</row>
    <row r="150" spans="1:29" ht="15.75" customHeight="1" x14ac:dyDescent="0.25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</row>
    <row r="151" spans="1:29" ht="15.75" customHeight="1" x14ac:dyDescent="0.25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</row>
    <row r="152" spans="1:29" ht="15.75" customHeight="1" x14ac:dyDescent="0.25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</row>
    <row r="153" spans="1:29" ht="15.75" customHeight="1" x14ac:dyDescent="0.25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</row>
    <row r="154" spans="1:29" ht="15.75" customHeight="1" x14ac:dyDescent="0.25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</row>
    <row r="155" spans="1:29" ht="15.75" customHeight="1" x14ac:dyDescent="0.2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</row>
    <row r="156" spans="1:29" ht="15.75" customHeight="1" x14ac:dyDescent="0.25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</row>
    <row r="157" spans="1:29" ht="15.75" customHeight="1" x14ac:dyDescent="0.25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</row>
    <row r="158" spans="1:29" ht="15.75" customHeight="1" x14ac:dyDescent="0.25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</row>
    <row r="159" spans="1:29" ht="15.75" customHeight="1" x14ac:dyDescent="0.25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</row>
    <row r="160" spans="1:29" ht="15.75" customHeight="1" x14ac:dyDescent="0.25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</row>
    <row r="161" spans="1:29" ht="15.75" customHeight="1" x14ac:dyDescent="0.25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</row>
    <row r="162" spans="1:29" ht="15.75" customHeight="1" x14ac:dyDescent="0.25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</row>
    <row r="163" spans="1:29" ht="15.75" customHeight="1" x14ac:dyDescent="0.25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</row>
    <row r="164" spans="1:29" ht="15.75" customHeight="1" x14ac:dyDescent="0.25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</row>
    <row r="165" spans="1:29" ht="15.75" customHeight="1" x14ac:dyDescent="0.2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</row>
    <row r="166" spans="1:29" ht="15.75" customHeight="1" x14ac:dyDescent="0.25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</row>
    <row r="167" spans="1:29" ht="15.75" customHeight="1" x14ac:dyDescent="0.25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</row>
    <row r="168" spans="1:29" ht="15.75" customHeight="1" x14ac:dyDescent="0.25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</row>
    <row r="169" spans="1:29" ht="15.75" customHeight="1" x14ac:dyDescent="0.25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</row>
    <row r="170" spans="1:29" ht="15.75" customHeight="1" x14ac:dyDescent="0.25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</row>
    <row r="171" spans="1:29" ht="15.75" customHeight="1" x14ac:dyDescent="0.25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</row>
    <row r="172" spans="1:29" ht="15.75" customHeight="1" x14ac:dyDescent="0.25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</row>
    <row r="173" spans="1:29" ht="15.75" customHeight="1" x14ac:dyDescent="0.25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</row>
    <row r="174" spans="1:29" ht="15.75" customHeight="1" x14ac:dyDescent="0.25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</row>
    <row r="175" spans="1:29" ht="15.75" customHeight="1" x14ac:dyDescent="0.2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</row>
    <row r="176" spans="1:29" ht="15.75" customHeight="1" x14ac:dyDescent="0.25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</row>
    <row r="177" spans="1:29" ht="15.75" customHeight="1" x14ac:dyDescent="0.25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</row>
    <row r="178" spans="1:29" ht="15.75" customHeight="1" x14ac:dyDescent="0.25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</row>
    <row r="179" spans="1:29" ht="15.75" customHeight="1" x14ac:dyDescent="0.25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</row>
    <row r="180" spans="1:29" ht="15.75" customHeight="1" x14ac:dyDescent="0.25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</row>
    <row r="181" spans="1:29" ht="15.75" customHeight="1" x14ac:dyDescent="0.25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</row>
    <row r="182" spans="1:29" ht="15.75" customHeight="1" x14ac:dyDescent="0.25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</row>
    <row r="183" spans="1:29" ht="15.75" customHeight="1" x14ac:dyDescent="0.25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</row>
    <row r="184" spans="1:29" ht="15.75" customHeight="1" x14ac:dyDescent="0.25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</row>
    <row r="185" spans="1:29" ht="15.75" customHeight="1" x14ac:dyDescent="0.2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</row>
    <row r="186" spans="1:29" ht="15.75" customHeight="1" x14ac:dyDescent="0.25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</row>
    <row r="187" spans="1:29" ht="15.75" customHeight="1" x14ac:dyDescent="0.2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</row>
    <row r="188" spans="1:29" ht="15.75" customHeight="1" x14ac:dyDescent="0.2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</row>
    <row r="189" spans="1:29" ht="15.75" customHeight="1" x14ac:dyDescent="0.25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</row>
    <row r="190" spans="1:29" ht="15.75" customHeight="1" x14ac:dyDescent="0.25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</row>
    <row r="191" spans="1:29" ht="15.75" customHeight="1" x14ac:dyDescent="0.25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</row>
    <row r="192" spans="1:29" ht="15.75" customHeight="1" x14ac:dyDescent="0.25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</row>
    <row r="193" spans="1:29" ht="15.75" customHeight="1" x14ac:dyDescent="0.25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</row>
    <row r="194" spans="1:29" ht="15.75" customHeight="1" x14ac:dyDescent="0.25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</row>
    <row r="195" spans="1:29" ht="15.75" customHeight="1" x14ac:dyDescent="0.2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</row>
    <row r="196" spans="1:29" ht="15.75" customHeight="1" x14ac:dyDescent="0.25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</row>
    <row r="197" spans="1:29" ht="15.75" customHeight="1" x14ac:dyDescent="0.25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</row>
    <row r="198" spans="1:29" ht="15.75" customHeight="1" x14ac:dyDescent="0.25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</row>
    <row r="199" spans="1:29" ht="15.75" customHeight="1" x14ac:dyDescent="0.25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</row>
    <row r="200" spans="1:29" ht="15.75" customHeight="1" x14ac:dyDescent="0.25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</row>
    <row r="201" spans="1:29" ht="15.75" customHeight="1" x14ac:dyDescent="0.25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</row>
    <row r="202" spans="1:29" ht="15.75" customHeight="1" x14ac:dyDescent="0.25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</row>
    <row r="203" spans="1:29" ht="15.75" customHeight="1" x14ac:dyDescent="0.25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</row>
    <row r="204" spans="1:29" ht="15.75" customHeight="1" x14ac:dyDescent="0.25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</row>
    <row r="205" spans="1:29" ht="15.75" customHeight="1" x14ac:dyDescent="0.2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</row>
    <row r="206" spans="1:29" ht="15.75" customHeight="1" x14ac:dyDescent="0.25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</row>
    <row r="207" spans="1:29" ht="15.75" customHeight="1" x14ac:dyDescent="0.25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</row>
    <row r="208" spans="1:29" ht="15.75" customHeight="1" x14ac:dyDescent="0.25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</row>
    <row r="209" spans="1:29" ht="15.75" customHeight="1" x14ac:dyDescent="0.25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</row>
    <row r="210" spans="1:29" ht="15.75" customHeight="1" x14ac:dyDescent="0.25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</row>
    <row r="211" spans="1:29" ht="15.75" customHeight="1" x14ac:dyDescent="0.25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</row>
    <row r="212" spans="1:29" ht="15.75" customHeight="1" x14ac:dyDescent="0.25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</row>
    <row r="213" spans="1:29" ht="15.75" customHeight="1" x14ac:dyDescent="0.25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</row>
    <row r="214" spans="1:29" ht="15.75" customHeight="1" x14ac:dyDescent="0.25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</row>
    <row r="215" spans="1:29" ht="15.75" customHeight="1" x14ac:dyDescent="0.2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</row>
    <row r="216" spans="1:29" ht="15.75" customHeight="1" x14ac:dyDescent="0.25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</row>
    <row r="217" spans="1:29" ht="15.75" customHeight="1" x14ac:dyDescent="0.25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</row>
    <row r="218" spans="1:29" ht="15.75" customHeight="1" x14ac:dyDescent="0.25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</row>
    <row r="219" spans="1:29" ht="15.75" customHeight="1" x14ac:dyDescent="0.25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</row>
    <row r="220" spans="1:29" ht="15.75" customHeight="1" x14ac:dyDescent="0.25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</row>
    <row r="221" spans="1:29" ht="15.75" customHeight="1" x14ac:dyDescent="0.25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</row>
    <row r="222" spans="1:29" ht="15.75" customHeight="1" x14ac:dyDescent="0.25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</row>
    <row r="223" spans="1:29" ht="15.75" customHeight="1" x14ac:dyDescent="0.25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</row>
    <row r="224" spans="1:29" ht="15.75" customHeight="1" x14ac:dyDescent="0.25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</row>
    <row r="225" spans="1:29" ht="15.75" customHeight="1" x14ac:dyDescent="0.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</row>
    <row r="226" spans="1:29" ht="15.75" customHeight="1" x14ac:dyDescent="0.25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</row>
    <row r="227" spans="1:29" ht="15.75" customHeight="1" x14ac:dyDescent="0.25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</row>
    <row r="228" spans="1:29" ht="15.75" customHeight="1" x14ac:dyDescent="0.25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</row>
    <row r="229" spans="1:29" ht="15.75" customHeight="1" x14ac:dyDescent="0.25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</row>
    <row r="230" spans="1:29" ht="15.75" customHeight="1" x14ac:dyDescent="0.25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</row>
    <row r="231" spans="1:29" ht="15.75" customHeight="1" x14ac:dyDescent="0.25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</row>
    <row r="232" spans="1:29" ht="15.75" customHeight="1" x14ac:dyDescent="0.25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</row>
    <row r="233" spans="1:29" ht="15.75" customHeight="1" x14ac:dyDescent="0.25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</row>
    <row r="234" spans="1:29" ht="15.75" customHeight="1" x14ac:dyDescent="0.25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</row>
    <row r="235" spans="1:29" ht="15.75" customHeight="1" x14ac:dyDescent="0.2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</row>
    <row r="236" spans="1:29" ht="15.75" customHeight="1" x14ac:dyDescent="0.25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</row>
    <row r="237" spans="1:29" ht="15.75" customHeight="1" x14ac:dyDescent="0.25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</row>
    <row r="238" spans="1:29" ht="15.75" customHeight="1" x14ac:dyDescent="0.25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</row>
    <row r="239" spans="1:29" ht="15.75" customHeight="1" x14ac:dyDescent="0.25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</row>
    <row r="240" spans="1:29" ht="15.75" customHeight="1" x14ac:dyDescent="0.25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</row>
    <row r="241" spans="1:29" ht="15.75" customHeight="1" x14ac:dyDescent="0.25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</row>
    <row r="242" spans="1:29" ht="15.75" customHeight="1" x14ac:dyDescent="0.25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</row>
    <row r="243" spans="1:29" ht="15.75" customHeight="1" x14ac:dyDescent="0.25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</row>
    <row r="244" spans="1:29" ht="15.75" customHeight="1" x14ac:dyDescent="0.25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</row>
    <row r="245" spans="1:29" ht="15.75" customHeight="1" x14ac:dyDescent="0.2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</row>
    <row r="246" spans="1:29" ht="15.75" customHeight="1" x14ac:dyDescent="0.25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</row>
    <row r="247" spans="1:29" ht="15.75" customHeight="1" x14ac:dyDescent="0.25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</row>
    <row r="248" spans="1:29" ht="15.75" customHeight="1" x14ac:dyDescent="0.25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</row>
    <row r="249" spans="1:29" ht="15.75" customHeight="1" x14ac:dyDescent="0.25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</row>
    <row r="250" spans="1:29" ht="15.75" customHeight="1" x14ac:dyDescent="0.25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</row>
    <row r="251" spans="1:29" ht="15.75" customHeight="1" x14ac:dyDescent="0.25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</row>
    <row r="252" spans="1:29" ht="15.75" customHeight="1" x14ac:dyDescent="0.25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</row>
    <row r="253" spans="1:29" ht="15.75" customHeight="1" x14ac:dyDescent="0.25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</row>
    <row r="254" spans="1:29" ht="15.75" customHeight="1" x14ac:dyDescent="0.25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</row>
    <row r="255" spans="1:29" ht="15.75" customHeight="1" x14ac:dyDescent="0.2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</row>
    <row r="256" spans="1:29" ht="15.75" customHeight="1" x14ac:dyDescent="0.25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</row>
    <row r="257" spans="1:29" ht="15.75" customHeight="1" x14ac:dyDescent="0.25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</row>
    <row r="258" spans="1:29" ht="15.75" customHeight="1" x14ac:dyDescent="0.25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</row>
    <row r="259" spans="1:29" ht="15.75" customHeight="1" x14ac:dyDescent="0.25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</row>
    <row r="260" spans="1:29" ht="15.75" customHeight="1" x14ac:dyDescent="0.25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</row>
    <row r="261" spans="1:29" ht="15.75" customHeight="1" x14ac:dyDescent="0.25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</row>
    <row r="262" spans="1:29" ht="15.75" customHeight="1" x14ac:dyDescent="0.25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</row>
    <row r="263" spans="1:29" ht="15.75" customHeight="1" x14ac:dyDescent="0.25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</row>
    <row r="264" spans="1:29" ht="15.75" customHeight="1" x14ac:dyDescent="0.25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</row>
    <row r="265" spans="1:29" ht="15.75" customHeight="1" x14ac:dyDescent="0.2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</row>
    <row r="266" spans="1:29" ht="15.75" customHeight="1" x14ac:dyDescent="0.25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</row>
    <row r="267" spans="1:29" ht="15.75" customHeight="1" x14ac:dyDescent="0.25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</row>
    <row r="268" spans="1:29" ht="15.75" customHeight="1" x14ac:dyDescent="0.25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</row>
    <row r="269" spans="1:29" ht="15.75" customHeight="1" x14ac:dyDescent="0.25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</row>
    <row r="270" spans="1:29" ht="15.75" customHeight="1" x14ac:dyDescent="0.25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</row>
    <row r="271" spans="1:29" ht="15.75" customHeight="1" x14ac:dyDescent="0.25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</row>
    <row r="272" spans="1:29" ht="15.75" customHeight="1" x14ac:dyDescent="0.25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</row>
    <row r="273" spans="1:29" ht="15.75" customHeight="1" x14ac:dyDescent="0.25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</row>
    <row r="274" spans="1:29" ht="15.75" customHeight="1" x14ac:dyDescent="0.25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</row>
    <row r="275" spans="1:29" ht="15.75" customHeight="1" x14ac:dyDescent="0.2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</row>
    <row r="276" spans="1:29" ht="15.75" customHeight="1" x14ac:dyDescent="0.25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</row>
    <row r="277" spans="1:29" ht="15.75" customHeight="1" x14ac:dyDescent="0.25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</row>
    <row r="278" spans="1:29" ht="15.75" customHeight="1" x14ac:dyDescent="0.25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</row>
    <row r="279" spans="1:29" ht="15.75" customHeight="1" x14ac:dyDescent="0.25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</row>
    <row r="280" spans="1:29" ht="15.75" customHeight="1" x14ac:dyDescent="0.25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</row>
    <row r="281" spans="1:29" ht="15.75" customHeight="1" x14ac:dyDescent="0.25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</row>
    <row r="282" spans="1:29" ht="15.75" customHeight="1" x14ac:dyDescent="0.25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</row>
    <row r="283" spans="1:29" ht="15.75" customHeight="1" x14ac:dyDescent="0.25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</row>
    <row r="284" spans="1:29" ht="15.75" customHeight="1" x14ac:dyDescent="0.25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</row>
    <row r="285" spans="1:29" ht="15.75" customHeight="1" x14ac:dyDescent="0.2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</row>
    <row r="286" spans="1:29" ht="15.75" customHeight="1" x14ac:dyDescent="0.25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</row>
    <row r="287" spans="1:29" ht="15.75" customHeight="1" x14ac:dyDescent="0.25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</row>
    <row r="288" spans="1:29" ht="15.75" customHeight="1" x14ac:dyDescent="0.25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</row>
    <row r="289" spans="1:29" ht="15.75" customHeight="1" x14ac:dyDescent="0.25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</row>
    <row r="290" spans="1:29" ht="15.75" customHeight="1" x14ac:dyDescent="0.25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</row>
    <row r="291" spans="1:29" ht="15.75" customHeight="1" x14ac:dyDescent="0.25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</row>
    <row r="292" spans="1:29" ht="15.75" customHeight="1" x14ac:dyDescent="0.25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</row>
    <row r="293" spans="1:29" ht="15.75" customHeight="1" x14ac:dyDescent="0.25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</row>
    <row r="294" spans="1:29" ht="15.75" customHeight="1" x14ac:dyDescent="0.25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</row>
    <row r="295" spans="1:29" ht="15.75" customHeight="1" x14ac:dyDescent="0.2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</row>
    <row r="296" spans="1:29" ht="15.75" customHeight="1" x14ac:dyDescent="0.25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</row>
    <row r="297" spans="1:29" ht="15.75" customHeight="1" x14ac:dyDescent="0.25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</row>
    <row r="298" spans="1:29" ht="15.75" customHeight="1" x14ac:dyDescent="0.25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</row>
    <row r="299" spans="1:29" ht="15.75" customHeight="1" x14ac:dyDescent="0.25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</row>
    <row r="300" spans="1:29" ht="15.75" customHeight="1" x14ac:dyDescent="0.25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</row>
    <row r="301" spans="1:29" ht="15.75" customHeight="1" x14ac:dyDescent="0.25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</row>
    <row r="302" spans="1:29" ht="15.75" customHeight="1" x14ac:dyDescent="0.25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</row>
    <row r="303" spans="1:29" ht="15.75" customHeight="1" x14ac:dyDescent="0.25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</row>
    <row r="304" spans="1:29" ht="15.75" customHeight="1" x14ac:dyDescent="0.25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</row>
    <row r="305" spans="1:29" ht="15.75" customHeight="1" x14ac:dyDescent="0.2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</row>
    <row r="306" spans="1:29" ht="15.75" customHeight="1" x14ac:dyDescent="0.25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</row>
    <row r="307" spans="1:29" ht="15.75" customHeight="1" x14ac:dyDescent="0.25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</row>
    <row r="308" spans="1:29" ht="15.75" customHeight="1" x14ac:dyDescent="0.25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</row>
    <row r="309" spans="1:29" ht="15.75" customHeight="1" x14ac:dyDescent="0.25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</row>
    <row r="310" spans="1:29" ht="15.75" customHeight="1" x14ac:dyDescent="0.25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</row>
    <row r="311" spans="1:29" ht="15.75" customHeight="1" x14ac:dyDescent="0.25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</row>
    <row r="312" spans="1:29" ht="15.75" customHeight="1" x14ac:dyDescent="0.25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</row>
    <row r="313" spans="1:29" ht="15.75" customHeight="1" x14ac:dyDescent="0.25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</row>
    <row r="314" spans="1:29" ht="15.75" customHeight="1" x14ac:dyDescent="0.25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</row>
    <row r="315" spans="1:29" ht="15.75" customHeight="1" x14ac:dyDescent="0.2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</row>
    <row r="316" spans="1:29" ht="15.75" customHeight="1" x14ac:dyDescent="0.25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</row>
    <row r="317" spans="1:29" ht="15.75" customHeight="1" x14ac:dyDescent="0.25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</row>
    <row r="318" spans="1:29" ht="15.75" customHeight="1" x14ac:dyDescent="0.25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</row>
    <row r="319" spans="1:29" ht="15.75" customHeight="1" x14ac:dyDescent="0.25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</row>
    <row r="320" spans="1:29" ht="15.75" customHeight="1" x14ac:dyDescent="0.25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</row>
    <row r="321" spans="1:29" ht="15.75" customHeight="1" x14ac:dyDescent="0.25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</row>
    <row r="322" spans="1:29" ht="15.75" customHeight="1" x14ac:dyDescent="0.25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</row>
    <row r="323" spans="1:29" ht="15.75" customHeight="1" x14ac:dyDescent="0.25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</row>
    <row r="324" spans="1:29" ht="15.75" customHeight="1" x14ac:dyDescent="0.25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</row>
    <row r="325" spans="1:29" ht="15.75" customHeight="1" x14ac:dyDescent="0.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</row>
    <row r="326" spans="1:29" ht="15.75" customHeight="1" x14ac:dyDescent="0.25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</row>
    <row r="327" spans="1:29" ht="15.75" customHeight="1" x14ac:dyDescent="0.25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</row>
    <row r="328" spans="1:29" ht="15.75" customHeight="1" x14ac:dyDescent="0.25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</row>
    <row r="329" spans="1:29" ht="15.75" customHeight="1" x14ac:dyDescent="0.25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</row>
    <row r="330" spans="1:29" ht="15.75" customHeight="1" x14ac:dyDescent="0.25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</row>
    <row r="331" spans="1:29" ht="15.75" customHeight="1" x14ac:dyDescent="0.25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</row>
    <row r="332" spans="1:29" ht="15.75" customHeight="1" x14ac:dyDescent="0.25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</row>
    <row r="333" spans="1:29" ht="15.75" customHeight="1" x14ac:dyDescent="0.25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</row>
    <row r="334" spans="1:29" ht="15.75" customHeight="1" x14ac:dyDescent="0.25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</row>
    <row r="335" spans="1:29" ht="15.75" customHeight="1" x14ac:dyDescent="0.2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</row>
    <row r="336" spans="1:29" ht="15.75" customHeight="1" x14ac:dyDescent="0.25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</row>
    <row r="337" spans="1:29" ht="15.75" customHeight="1" x14ac:dyDescent="0.25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</row>
    <row r="338" spans="1:29" ht="15.75" customHeight="1" x14ac:dyDescent="0.25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</row>
    <row r="339" spans="1:29" ht="15.75" customHeight="1" x14ac:dyDescent="0.25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</row>
    <row r="340" spans="1:29" ht="15.75" customHeight="1" x14ac:dyDescent="0.25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</row>
    <row r="341" spans="1:29" ht="15.75" customHeight="1" x14ac:dyDescent="0.25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</row>
    <row r="342" spans="1:29" ht="15.75" customHeight="1" x14ac:dyDescent="0.25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</row>
    <row r="343" spans="1:29" ht="15.75" customHeight="1" x14ac:dyDescent="0.25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</row>
    <row r="344" spans="1:29" ht="15.75" customHeight="1" x14ac:dyDescent="0.25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</row>
    <row r="345" spans="1:29" ht="15.75" customHeight="1" x14ac:dyDescent="0.2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</row>
    <row r="346" spans="1:29" ht="15.75" customHeight="1" x14ac:dyDescent="0.25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</row>
    <row r="347" spans="1:29" ht="15.75" customHeight="1" x14ac:dyDescent="0.25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</row>
    <row r="348" spans="1:29" ht="15.75" customHeight="1" x14ac:dyDescent="0.25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</row>
    <row r="349" spans="1:29" ht="15.75" customHeight="1" x14ac:dyDescent="0.25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</row>
    <row r="350" spans="1:29" ht="15.75" customHeight="1" x14ac:dyDescent="0.25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</row>
    <row r="351" spans="1:29" ht="15.75" customHeight="1" x14ac:dyDescent="0.25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</row>
    <row r="352" spans="1:29" ht="15.75" customHeight="1" x14ac:dyDescent="0.25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</row>
    <row r="353" spans="1:29" ht="15.75" customHeight="1" x14ac:dyDescent="0.25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</row>
    <row r="354" spans="1:29" ht="15.75" customHeight="1" x14ac:dyDescent="0.25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</row>
    <row r="355" spans="1:29" ht="15.75" customHeight="1" x14ac:dyDescent="0.2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</row>
    <row r="356" spans="1:29" ht="15.75" customHeight="1" x14ac:dyDescent="0.25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</row>
    <row r="357" spans="1:29" ht="15.75" customHeight="1" x14ac:dyDescent="0.25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</row>
    <row r="358" spans="1:29" ht="15.75" customHeight="1" x14ac:dyDescent="0.25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</row>
    <row r="359" spans="1:29" ht="15.75" customHeight="1" x14ac:dyDescent="0.25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</row>
    <row r="360" spans="1:29" ht="15.75" customHeight="1" x14ac:dyDescent="0.25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</row>
    <row r="361" spans="1:29" ht="15.75" customHeight="1" x14ac:dyDescent="0.25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</row>
    <row r="362" spans="1:29" ht="15.75" customHeight="1" x14ac:dyDescent="0.25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</row>
    <row r="363" spans="1:29" ht="15.75" customHeight="1" x14ac:dyDescent="0.25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</row>
    <row r="364" spans="1:29" ht="15.75" customHeight="1" x14ac:dyDescent="0.25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</row>
    <row r="365" spans="1:29" ht="15.75" customHeight="1" x14ac:dyDescent="0.2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</row>
    <row r="366" spans="1:29" ht="15.75" customHeight="1" x14ac:dyDescent="0.25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</row>
    <row r="367" spans="1:29" ht="15.75" customHeight="1" x14ac:dyDescent="0.25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</row>
    <row r="368" spans="1:29" ht="15.75" customHeight="1" x14ac:dyDescent="0.25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</row>
    <row r="369" spans="1:29" ht="15.75" customHeight="1" x14ac:dyDescent="0.25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</row>
    <row r="370" spans="1:29" ht="15.75" customHeight="1" x14ac:dyDescent="0.25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</row>
    <row r="371" spans="1:29" ht="15.75" customHeight="1" x14ac:dyDescent="0.25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</row>
    <row r="372" spans="1:29" ht="15.75" customHeight="1" x14ac:dyDescent="0.25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</row>
    <row r="373" spans="1:29" ht="15.75" customHeight="1" x14ac:dyDescent="0.25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</row>
    <row r="374" spans="1:29" ht="15.75" customHeight="1" x14ac:dyDescent="0.25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</row>
    <row r="375" spans="1:29" ht="15.75" customHeight="1" x14ac:dyDescent="0.2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</row>
    <row r="376" spans="1:29" ht="15.75" customHeight="1" x14ac:dyDescent="0.25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</row>
    <row r="377" spans="1:29" ht="15.75" customHeight="1" x14ac:dyDescent="0.25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</row>
    <row r="378" spans="1:29" ht="15.75" customHeight="1" x14ac:dyDescent="0.25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</row>
    <row r="379" spans="1:29" ht="15.75" customHeight="1" x14ac:dyDescent="0.25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</row>
    <row r="380" spans="1:29" ht="15.75" customHeight="1" x14ac:dyDescent="0.25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</row>
    <row r="381" spans="1:29" ht="15.75" customHeight="1" x14ac:dyDescent="0.25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</row>
    <row r="382" spans="1:29" ht="15.75" customHeight="1" x14ac:dyDescent="0.25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</row>
    <row r="383" spans="1:29" ht="15.75" customHeight="1" x14ac:dyDescent="0.25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</row>
    <row r="384" spans="1:29" ht="15.75" customHeight="1" x14ac:dyDescent="0.25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</row>
    <row r="385" spans="1:29" ht="15.75" customHeight="1" x14ac:dyDescent="0.2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</row>
    <row r="386" spans="1:29" ht="15.75" customHeight="1" x14ac:dyDescent="0.25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</row>
    <row r="387" spans="1:29" ht="15.75" customHeight="1" x14ac:dyDescent="0.25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</row>
    <row r="388" spans="1:29" ht="15.75" customHeight="1" x14ac:dyDescent="0.25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</row>
    <row r="389" spans="1:29" ht="15.75" customHeight="1" x14ac:dyDescent="0.25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</row>
    <row r="390" spans="1:29" ht="15.75" customHeight="1" x14ac:dyDescent="0.25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</row>
    <row r="391" spans="1:29" ht="15.75" customHeight="1" x14ac:dyDescent="0.25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</row>
    <row r="392" spans="1:29" ht="15.75" customHeight="1" x14ac:dyDescent="0.25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</row>
    <row r="393" spans="1:29" ht="15.75" customHeight="1" x14ac:dyDescent="0.25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</row>
    <row r="394" spans="1:29" ht="15.75" customHeight="1" x14ac:dyDescent="0.25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</row>
    <row r="395" spans="1:29" ht="15.75" customHeight="1" x14ac:dyDescent="0.2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</row>
    <row r="396" spans="1:29" ht="15.75" customHeight="1" x14ac:dyDescent="0.25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</row>
    <row r="397" spans="1:29" ht="15.75" customHeight="1" x14ac:dyDescent="0.25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</row>
    <row r="398" spans="1:29" ht="15.75" customHeight="1" x14ac:dyDescent="0.25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</row>
    <row r="399" spans="1:29" ht="15.75" customHeight="1" x14ac:dyDescent="0.25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</row>
    <row r="400" spans="1:29" ht="15.75" customHeight="1" x14ac:dyDescent="0.25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</row>
    <row r="401" spans="1:29" ht="15.75" customHeight="1" x14ac:dyDescent="0.25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</row>
    <row r="402" spans="1:29" ht="15.75" customHeight="1" x14ac:dyDescent="0.25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</row>
    <row r="403" spans="1:29" ht="15.75" customHeight="1" x14ac:dyDescent="0.25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</row>
    <row r="404" spans="1:29" ht="15.75" customHeight="1" x14ac:dyDescent="0.25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</row>
    <row r="405" spans="1:29" ht="15.75" customHeight="1" x14ac:dyDescent="0.2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</row>
    <row r="406" spans="1:29" ht="15.75" customHeight="1" x14ac:dyDescent="0.25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</row>
    <row r="407" spans="1:29" ht="15.75" customHeight="1" x14ac:dyDescent="0.25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</row>
    <row r="408" spans="1:29" ht="15.75" customHeight="1" x14ac:dyDescent="0.25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</row>
    <row r="409" spans="1:29" ht="15.75" customHeight="1" x14ac:dyDescent="0.25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</row>
    <row r="410" spans="1:29" ht="15.75" customHeight="1" x14ac:dyDescent="0.25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</row>
    <row r="411" spans="1:29" ht="15.75" customHeight="1" x14ac:dyDescent="0.25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</row>
    <row r="412" spans="1:29" ht="15.75" customHeight="1" x14ac:dyDescent="0.25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</row>
    <row r="413" spans="1:29" ht="15.75" customHeight="1" x14ac:dyDescent="0.25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</row>
    <row r="414" spans="1:29" ht="15.75" customHeight="1" x14ac:dyDescent="0.25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</row>
    <row r="415" spans="1:29" ht="15.75" customHeight="1" x14ac:dyDescent="0.2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</row>
    <row r="416" spans="1:29" ht="15.75" customHeight="1" x14ac:dyDescent="0.25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</row>
    <row r="417" spans="1:29" ht="15.75" customHeight="1" x14ac:dyDescent="0.25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</row>
    <row r="418" spans="1:29" ht="15.75" customHeight="1" x14ac:dyDescent="0.25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</row>
    <row r="419" spans="1:29" ht="15.75" customHeight="1" x14ac:dyDescent="0.25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</row>
    <row r="420" spans="1:29" ht="15.75" customHeight="1" x14ac:dyDescent="0.25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</row>
    <row r="421" spans="1:29" ht="15.75" customHeight="1" x14ac:dyDescent="0.25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</row>
    <row r="422" spans="1:29" ht="15.75" customHeight="1" x14ac:dyDescent="0.25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</row>
    <row r="423" spans="1:29" ht="15.75" customHeight="1" x14ac:dyDescent="0.25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</row>
    <row r="424" spans="1:29" ht="15.75" customHeight="1" x14ac:dyDescent="0.25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</row>
    <row r="425" spans="1:29" ht="15.75" customHeight="1" x14ac:dyDescent="0.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</row>
    <row r="426" spans="1:29" ht="15.75" customHeight="1" x14ac:dyDescent="0.25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</row>
    <row r="427" spans="1:29" ht="15.75" customHeight="1" x14ac:dyDescent="0.25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</row>
    <row r="428" spans="1:29" ht="15.75" customHeight="1" x14ac:dyDescent="0.25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</row>
    <row r="429" spans="1:29" ht="15.75" customHeight="1" x14ac:dyDescent="0.25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</row>
    <row r="430" spans="1:29" ht="15.75" customHeight="1" x14ac:dyDescent="0.25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</row>
    <row r="431" spans="1:29" ht="15.75" customHeight="1" x14ac:dyDescent="0.25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</row>
    <row r="432" spans="1:29" ht="15.75" customHeight="1" x14ac:dyDescent="0.25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</row>
    <row r="433" spans="1:29" ht="15.75" customHeight="1" x14ac:dyDescent="0.25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</row>
    <row r="434" spans="1:29" ht="15.75" customHeight="1" x14ac:dyDescent="0.25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</row>
    <row r="435" spans="1:29" ht="15.75" customHeight="1" x14ac:dyDescent="0.2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</row>
    <row r="436" spans="1:29" ht="15.75" customHeight="1" x14ac:dyDescent="0.25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</row>
    <row r="437" spans="1:29" ht="15.75" customHeight="1" x14ac:dyDescent="0.25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</row>
    <row r="438" spans="1:29" ht="15.75" customHeight="1" x14ac:dyDescent="0.25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</row>
    <row r="439" spans="1:29" ht="15.75" customHeight="1" x14ac:dyDescent="0.25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</row>
    <row r="440" spans="1:29" ht="15.75" customHeight="1" x14ac:dyDescent="0.25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</row>
    <row r="441" spans="1:29" ht="15.75" customHeight="1" x14ac:dyDescent="0.25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</row>
    <row r="442" spans="1:29" ht="15.75" customHeight="1" x14ac:dyDescent="0.25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</row>
    <row r="443" spans="1:29" ht="15.75" customHeight="1" x14ac:dyDescent="0.25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</row>
    <row r="444" spans="1:29" ht="15.75" customHeight="1" x14ac:dyDescent="0.25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</row>
    <row r="445" spans="1:29" ht="15.75" customHeight="1" x14ac:dyDescent="0.2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</row>
    <row r="446" spans="1:29" ht="15.75" customHeight="1" x14ac:dyDescent="0.25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</row>
    <row r="447" spans="1:29" ht="15.75" customHeight="1" x14ac:dyDescent="0.25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</row>
    <row r="448" spans="1:29" ht="15.75" customHeight="1" x14ac:dyDescent="0.25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</row>
    <row r="449" spans="1:29" ht="15.75" customHeight="1" x14ac:dyDescent="0.25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</row>
    <row r="450" spans="1:29" ht="15.75" customHeight="1" x14ac:dyDescent="0.25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</row>
    <row r="451" spans="1:29" ht="15.75" customHeight="1" x14ac:dyDescent="0.25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</row>
    <row r="452" spans="1:29" ht="15.75" customHeight="1" x14ac:dyDescent="0.25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</row>
    <row r="453" spans="1:29" ht="15.75" customHeight="1" x14ac:dyDescent="0.25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</row>
    <row r="454" spans="1:29" ht="15.75" customHeight="1" x14ac:dyDescent="0.25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</row>
    <row r="455" spans="1:29" ht="15.75" customHeight="1" x14ac:dyDescent="0.2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</row>
    <row r="456" spans="1:29" ht="15.75" customHeight="1" x14ac:dyDescent="0.25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</row>
    <row r="457" spans="1:29" ht="15.75" customHeight="1" x14ac:dyDescent="0.25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</row>
    <row r="458" spans="1:29" ht="15.75" customHeight="1" x14ac:dyDescent="0.25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</row>
    <row r="459" spans="1:29" ht="15.75" customHeight="1" x14ac:dyDescent="0.25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</row>
    <row r="460" spans="1:29" ht="15.75" customHeight="1" x14ac:dyDescent="0.25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</row>
    <row r="461" spans="1:29" ht="15.75" customHeight="1" x14ac:dyDescent="0.25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</row>
    <row r="462" spans="1:29" ht="15.75" customHeight="1" x14ac:dyDescent="0.25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</row>
    <row r="463" spans="1:29" ht="15.75" customHeight="1" x14ac:dyDescent="0.25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</row>
    <row r="464" spans="1:29" ht="15.75" customHeight="1" x14ac:dyDescent="0.25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</row>
    <row r="465" spans="1:29" ht="15.75" customHeight="1" x14ac:dyDescent="0.2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</row>
    <row r="466" spans="1:29" ht="15.75" customHeight="1" x14ac:dyDescent="0.25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</row>
    <row r="467" spans="1:29" ht="15.75" customHeight="1" x14ac:dyDescent="0.25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</row>
    <row r="468" spans="1:29" ht="15.75" customHeight="1" x14ac:dyDescent="0.25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</row>
    <row r="469" spans="1:29" ht="15.75" customHeight="1" x14ac:dyDescent="0.25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</row>
    <row r="470" spans="1:29" ht="15.75" customHeight="1" x14ac:dyDescent="0.25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</row>
    <row r="471" spans="1:29" ht="15.75" customHeight="1" x14ac:dyDescent="0.25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</row>
    <row r="472" spans="1:29" ht="15.75" customHeight="1" x14ac:dyDescent="0.25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</row>
    <row r="473" spans="1:29" ht="15.75" customHeight="1" x14ac:dyDescent="0.25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</row>
    <row r="474" spans="1:29" ht="15.75" customHeight="1" x14ac:dyDescent="0.25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</row>
    <row r="475" spans="1:29" ht="15.75" customHeight="1" x14ac:dyDescent="0.2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</row>
    <row r="476" spans="1:29" ht="15.75" customHeight="1" x14ac:dyDescent="0.25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</row>
    <row r="477" spans="1:29" ht="15.75" customHeight="1" x14ac:dyDescent="0.25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</row>
    <row r="478" spans="1:29" ht="15.75" customHeight="1" x14ac:dyDescent="0.25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</row>
    <row r="479" spans="1:29" ht="15.75" customHeight="1" x14ac:dyDescent="0.25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</row>
    <row r="480" spans="1:29" ht="15.75" customHeight="1" x14ac:dyDescent="0.25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</row>
    <row r="481" spans="1:29" ht="15.75" customHeight="1" x14ac:dyDescent="0.25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</row>
    <row r="482" spans="1:29" ht="15.75" customHeight="1" x14ac:dyDescent="0.25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</row>
    <row r="483" spans="1:29" ht="15.75" customHeight="1" x14ac:dyDescent="0.25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</row>
    <row r="484" spans="1:29" ht="15.75" customHeight="1" x14ac:dyDescent="0.25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</row>
    <row r="485" spans="1:29" ht="15.75" customHeight="1" x14ac:dyDescent="0.2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</row>
    <row r="486" spans="1:29" ht="15.75" customHeight="1" x14ac:dyDescent="0.25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</row>
    <row r="487" spans="1:29" ht="15.75" customHeight="1" x14ac:dyDescent="0.25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</row>
    <row r="488" spans="1:29" ht="15.75" customHeight="1" x14ac:dyDescent="0.25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</row>
    <row r="489" spans="1:29" ht="15.75" customHeight="1" x14ac:dyDescent="0.25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</row>
    <row r="490" spans="1:29" ht="15.75" customHeight="1" x14ac:dyDescent="0.25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</row>
    <row r="491" spans="1:29" ht="15.75" customHeight="1" x14ac:dyDescent="0.25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</row>
    <row r="492" spans="1:29" ht="15.75" customHeight="1" x14ac:dyDescent="0.25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</row>
    <row r="493" spans="1:29" ht="15.75" customHeight="1" x14ac:dyDescent="0.25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</row>
    <row r="494" spans="1:29" ht="15.75" customHeight="1" x14ac:dyDescent="0.25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</row>
    <row r="495" spans="1:29" ht="15.75" customHeight="1" x14ac:dyDescent="0.2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</row>
    <row r="496" spans="1:29" ht="15.75" customHeight="1" x14ac:dyDescent="0.25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</row>
    <row r="497" spans="1:29" ht="15.75" customHeight="1" x14ac:dyDescent="0.25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</row>
    <row r="498" spans="1:29" ht="15.75" customHeight="1" x14ac:dyDescent="0.25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</row>
    <row r="499" spans="1:29" ht="15.75" customHeight="1" x14ac:dyDescent="0.25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</row>
    <row r="500" spans="1:29" ht="15.75" customHeight="1" x14ac:dyDescent="0.25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</row>
    <row r="501" spans="1:29" ht="15.75" customHeight="1" x14ac:dyDescent="0.25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</row>
    <row r="502" spans="1:29" ht="15.75" customHeight="1" x14ac:dyDescent="0.25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</row>
    <row r="503" spans="1:29" ht="15.75" customHeight="1" x14ac:dyDescent="0.25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</row>
    <row r="504" spans="1:29" ht="15.75" customHeight="1" x14ac:dyDescent="0.25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</row>
    <row r="505" spans="1:29" ht="15.75" customHeight="1" x14ac:dyDescent="0.2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</row>
    <row r="506" spans="1:29" ht="15.75" customHeight="1" x14ac:dyDescent="0.25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</row>
    <row r="507" spans="1:29" ht="15.75" customHeight="1" x14ac:dyDescent="0.25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</row>
    <row r="508" spans="1:29" ht="15.75" customHeight="1" x14ac:dyDescent="0.25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</row>
    <row r="509" spans="1:29" ht="15.75" customHeight="1" x14ac:dyDescent="0.25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</row>
    <row r="510" spans="1:29" ht="15.75" customHeight="1" x14ac:dyDescent="0.25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</row>
    <row r="511" spans="1:29" ht="15.75" customHeight="1" x14ac:dyDescent="0.25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</row>
    <row r="512" spans="1:29" ht="15.75" customHeight="1" x14ac:dyDescent="0.25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</row>
    <row r="513" spans="1:29" ht="15.75" customHeight="1" x14ac:dyDescent="0.25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</row>
    <row r="514" spans="1:29" ht="15.75" customHeight="1" x14ac:dyDescent="0.25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</row>
    <row r="515" spans="1:29" ht="15.75" customHeight="1" x14ac:dyDescent="0.2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</row>
    <row r="516" spans="1:29" ht="15.75" customHeight="1" x14ac:dyDescent="0.25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</row>
    <row r="517" spans="1:29" ht="15.75" customHeight="1" x14ac:dyDescent="0.25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</row>
    <row r="518" spans="1:29" ht="15.75" customHeight="1" x14ac:dyDescent="0.25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</row>
    <row r="519" spans="1:29" ht="15.75" customHeight="1" x14ac:dyDescent="0.25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</row>
    <row r="520" spans="1:29" ht="15.75" customHeight="1" x14ac:dyDescent="0.25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</row>
    <row r="521" spans="1:29" ht="15.75" customHeight="1" x14ac:dyDescent="0.25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</row>
    <row r="522" spans="1:29" ht="15.75" customHeight="1" x14ac:dyDescent="0.25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</row>
    <row r="523" spans="1:29" ht="15.75" customHeight="1" x14ac:dyDescent="0.25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</row>
    <row r="524" spans="1:29" ht="15.75" customHeight="1" x14ac:dyDescent="0.25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</row>
    <row r="525" spans="1:29" ht="15.75" customHeight="1" x14ac:dyDescent="0.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</row>
    <row r="526" spans="1:29" ht="15.75" customHeight="1" x14ac:dyDescent="0.25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</row>
    <row r="527" spans="1:29" ht="15.75" customHeight="1" x14ac:dyDescent="0.25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</row>
    <row r="528" spans="1:29" ht="15.75" customHeight="1" x14ac:dyDescent="0.25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</row>
    <row r="529" spans="1:29" ht="15.75" customHeight="1" x14ac:dyDescent="0.25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</row>
    <row r="530" spans="1:29" ht="15.75" customHeight="1" x14ac:dyDescent="0.25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</row>
    <row r="531" spans="1:29" ht="15.75" customHeight="1" x14ac:dyDescent="0.25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</row>
    <row r="532" spans="1:29" ht="15.75" customHeight="1" x14ac:dyDescent="0.25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</row>
    <row r="533" spans="1:29" ht="15.75" customHeight="1" x14ac:dyDescent="0.25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</row>
    <row r="534" spans="1:29" ht="15.75" customHeight="1" x14ac:dyDescent="0.25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</row>
    <row r="535" spans="1:29" ht="15.75" customHeight="1" x14ac:dyDescent="0.2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</row>
    <row r="536" spans="1:29" ht="15.75" customHeight="1" x14ac:dyDescent="0.25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</row>
    <row r="537" spans="1:29" ht="15.75" customHeight="1" x14ac:dyDescent="0.25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</row>
    <row r="538" spans="1:29" ht="15.75" customHeight="1" x14ac:dyDescent="0.25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</row>
    <row r="539" spans="1:29" ht="15.75" customHeight="1" x14ac:dyDescent="0.25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</row>
    <row r="540" spans="1:29" ht="15.75" customHeight="1" x14ac:dyDescent="0.25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</row>
    <row r="541" spans="1:29" ht="15.75" customHeight="1" x14ac:dyDescent="0.25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</row>
    <row r="542" spans="1:29" ht="15.75" customHeight="1" x14ac:dyDescent="0.25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</row>
    <row r="543" spans="1:29" ht="15.75" customHeight="1" x14ac:dyDescent="0.25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</row>
    <row r="544" spans="1:29" ht="15.75" customHeight="1" x14ac:dyDescent="0.25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</row>
    <row r="545" spans="1:29" ht="15.75" customHeight="1" x14ac:dyDescent="0.2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</row>
    <row r="546" spans="1:29" ht="15.75" customHeight="1" x14ac:dyDescent="0.25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</row>
    <row r="547" spans="1:29" ht="15.75" customHeight="1" x14ac:dyDescent="0.25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</row>
    <row r="548" spans="1:29" ht="15.75" customHeight="1" x14ac:dyDescent="0.25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</row>
    <row r="549" spans="1:29" ht="15.75" customHeight="1" x14ac:dyDescent="0.25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</row>
    <row r="550" spans="1:29" ht="15.75" customHeight="1" x14ac:dyDescent="0.25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</row>
    <row r="551" spans="1:29" ht="15.75" customHeight="1" x14ac:dyDescent="0.25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</row>
    <row r="552" spans="1:29" ht="15.75" customHeight="1" x14ac:dyDescent="0.25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</row>
    <row r="553" spans="1:29" ht="15.75" customHeight="1" x14ac:dyDescent="0.25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</row>
    <row r="554" spans="1:29" ht="15.75" customHeight="1" x14ac:dyDescent="0.25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</row>
    <row r="555" spans="1:29" ht="15.75" customHeight="1" x14ac:dyDescent="0.2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</row>
    <row r="556" spans="1:29" ht="15.75" customHeight="1" x14ac:dyDescent="0.25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</row>
    <row r="557" spans="1:29" ht="15.75" customHeight="1" x14ac:dyDescent="0.25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</row>
    <row r="558" spans="1:29" ht="15.75" customHeight="1" x14ac:dyDescent="0.25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</row>
    <row r="559" spans="1:29" ht="15.75" customHeight="1" x14ac:dyDescent="0.25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</row>
    <row r="560" spans="1:29" ht="15.75" customHeight="1" x14ac:dyDescent="0.25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</row>
    <row r="561" spans="1:29" ht="15.75" customHeight="1" x14ac:dyDescent="0.25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</row>
    <row r="562" spans="1:29" ht="15.75" customHeight="1" x14ac:dyDescent="0.25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</row>
    <row r="563" spans="1:29" ht="15.75" customHeight="1" x14ac:dyDescent="0.25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</row>
    <row r="564" spans="1:29" ht="15.75" customHeight="1" x14ac:dyDescent="0.25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</row>
    <row r="565" spans="1:29" ht="15.75" customHeight="1" x14ac:dyDescent="0.2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</row>
    <row r="566" spans="1:29" ht="15.75" customHeight="1" x14ac:dyDescent="0.25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</row>
    <row r="567" spans="1:29" ht="15.75" customHeight="1" x14ac:dyDescent="0.25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</row>
    <row r="568" spans="1:29" ht="15.75" customHeight="1" x14ac:dyDescent="0.25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</row>
    <row r="569" spans="1:29" ht="15.75" customHeight="1" x14ac:dyDescent="0.25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</row>
    <row r="570" spans="1:29" ht="15.75" customHeight="1" x14ac:dyDescent="0.25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</row>
    <row r="571" spans="1:29" ht="15.75" customHeight="1" x14ac:dyDescent="0.25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</row>
    <row r="572" spans="1:29" ht="15.75" customHeight="1" x14ac:dyDescent="0.25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</row>
    <row r="573" spans="1:29" ht="15.75" customHeight="1" x14ac:dyDescent="0.25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</row>
    <row r="574" spans="1:29" ht="15.75" customHeight="1" x14ac:dyDescent="0.25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</row>
    <row r="575" spans="1:29" ht="15.75" customHeight="1" x14ac:dyDescent="0.2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</row>
    <row r="576" spans="1:29" ht="15.75" customHeight="1" x14ac:dyDescent="0.25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</row>
    <row r="577" spans="1:29" ht="15.75" customHeight="1" x14ac:dyDescent="0.25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</row>
    <row r="578" spans="1:29" ht="15.75" customHeight="1" x14ac:dyDescent="0.25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</row>
    <row r="579" spans="1:29" ht="15.75" customHeight="1" x14ac:dyDescent="0.25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</row>
    <row r="580" spans="1:29" ht="15.75" customHeight="1" x14ac:dyDescent="0.25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</row>
    <row r="581" spans="1:29" ht="15.75" customHeight="1" x14ac:dyDescent="0.25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</row>
    <row r="582" spans="1:29" ht="15.75" customHeight="1" x14ac:dyDescent="0.25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</row>
    <row r="583" spans="1:29" ht="15.75" customHeight="1" x14ac:dyDescent="0.25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</row>
    <row r="584" spans="1:29" ht="15.75" customHeight="1" x14ac:dyDescent="0.25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</row>
    <row r="585" spans="1:29" ht="15.75" customHeight="1" x14ac:dyDescent="0.2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</row>
    <row r="586" spans="1:29" ht="15.75" customHeight="1" x14ac:dyDescent="0.25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</row>
    <row r="587" spans="1:29" ht="15.75" customHeight="1" x14ac:dyDescent="0.25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</row>
    <row r="588" spans="1:29" ht="15.75" customHeight="1" x14ac:dyDescent="0.25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</row>
    <row r="589" spans="1:29" ht="15.75" customHeight="1" x14ac:dyDescent="0.25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</row>
    <row r="590" spans="1:29" ht="15.75" customHeight="1" x14ac:dyDescent="0.25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</row>
    <row r="591" spans="1:29" ht="15.75" customHeight="1" x14ac:dyDescent="0.25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</row>
    <row r="592" spans="1:29" ht="15.75" customHeight="1" x14ac:dyDescent="0.25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</row>
    <row r="593" spans="1:29" ht="15.75" customHeight="1" x14ac:dyDescent="0.25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</row>
    <row r="594" spans="1:29" ht="15.75" customHeight="1" x14ac:dyDescent="0.25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</row>
    <row r="595" spans="1:29" ht="15.75" customHeight="1" x14ac:dyDescent="0.2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</row>
    <row r="596" spans="1:29" ht="15.75" customHeight="1" x14ac:dyDescent="0.25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</row>
    <row r="597" spans="1:29" ht="15.75" customHeight="1" x14ac:dyDescent="0.25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</row>
    <row r="598" spans="1:29" ht="15.75" customHeight="1" x14ac:dyDescent="0.25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</row>
    <row r="599" spans="1:29" ht="15.75" customHeight="1" x14ac:dyDescent="0.25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</row>
    <row r="600" spans="1:29" ht="15.75" customHeight="1" x14ac:dyDescent="0.25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</row>
    <row r="601" spans="1:29" ht="15.75" customHeight="1" x14ac:dyDescent="0.25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</row>
    <row r="602" spans="1:29" ht="15.75" customHeight="1" x14ac:dyDescent="0.25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</row>
    <row r="603" spans="1:29" ht="15.75" customHeight="1" x14ac:dyDescent="0.25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</row>
    <row r="604" spans="1:29" ht="15.75" customHeight="1" x14ac:dyDescent="0.25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</row>
    <row r="605" spans="1:29" ht="15.75" customHeight="1" x14ac:dyDescent="0.2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</row>
    <row r="606" spans="1:29" ht="15.75" customHeight="1" x14ac:dyDescent="0.25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</row>
    <row r="607" spans="1:29" ht="15.75" customHeight="1" x14ac:dyDescent="0.25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</row>
    <row r="608" spans="1:29" ht="15.75" customHeight="1" x14ac:dyDescent="0.25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</row>
    <row r="609" spans="1:29" ht="15.75" customHeight="1" x14ac:dyDescent="0.25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</row>
    <row r="610" spans="1:29" ht="15.75" customHeight="1" x14ac:dyDescent="0.25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</row>
    <row r="611" spans="1:29" ht="15.75" customHeight="1" x14ac:dyDescent="0.25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</row>
    <row r="612" spans="1:29" ht="15.75" customHeight="1" x14ac:dyDescent="0.25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</row>
    <row r="613" spans="1:29" ht="15.75" customHeight="1" x14ac:dyDescent="0.25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</row>
    <row r="614" spans="1:29" ht="15.75" customHeight="1" x14ac:dyDescent="0.25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</row>
    <row r="615" spans="1:29" ht="15.75" customHeight="1" x14ac:dyDescent="0.2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</row>
    <row r="616" spans="1:29" ht="15.75" customHeight="1" x14ac:dyDescent="0.25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</row>
    <row r="617" spans="1:29" ht="15.75" customHeight="1" x14ac:dyDescent="0.25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</row>
    <row r="618" spans="1:29" ht="15.75" customHeight="1" x14ac:dyDescent="0.25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</row>
    <row r="619" spans="1:29" ht="15.75" customHeight="1" x14ac:dyDescent="0.25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</row>
    <row r="620" spans="1:29" ht="15.75" customHeight="1" x14ac:dyDescent="0.25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</row>
    <row r="621" spans="1:29" ht="15.75" customHeight="1" x14ac:dyDescent="0.25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</row>
    <row r="622" spans="1:29" ht="15.75" customHeight="1" x14ac:dyDescent="0.25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</row>
    <row r="623" spans="1:29" ht="15.75" customHeight="1" x14ac:dyDescent="0.25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</row>
    <row r="624" spans="1:29" ht="15.75" customHeight="1" x14ac:dyDescent="0.25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</row>
    <row r="625" spans="1:29" ht="15.75" customHeight="1" x14ac:dyDescent="0.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</row>
    <row r="626" spans="1:29" ht="15.75" customHeight="1" x14ac:dyDescent="0.25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</row>
    <row r="627" spans="1:29" ht="15.75" customHeight="1" x14ac:dyDescent="0.25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</row>
    <row r="628" spans="1:29" ht="15.75" customHeight="1" x14ac:dyDescent="0.25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</row>
    <row r="629" spans="1:29" ht="15.75" customHeight="1" x14ac:dyDescent="0.25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</row>
    <row r="630" spans="1:29" ht="15.75" customHeight="1" x14ac:dyDescent="0.25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</row>
    <row r="631" spans="1:29" ht="15.75" customHeight="1" x14ac:dyDescent="0.25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</row>
    <row r="632" spans="1:29" ht="15.75" customHeight="1" x14ac:dyDescent="0.25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</row>
    <row r="633" spans="1:29" ht="15.75" customHeight="1" x14ac:dyDescent="0.25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</row>
    <row r="634" spans="1:29" ht="15.75" customHeight="1" x14ac:dyDescent="0.25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</row>
    <row r="635" spans="1:29" ht="15.75" customHeight="1" x14ac:dyDescent="0.2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</row>
    <row r="636" spans="1:29" ht="15.75" customHeight="1" x14ac:dyDescent="0.25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</row>
    <row r="637" spans="1:29" ht="15.75" customHeight="1" x14ac:dyDescent="0.25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</row>
    <row r="638" spans="1:29" ht="15.75" customHeight="1" x14ac:dyDescent="0.25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</row>
    <row r="639" spans="1:29" ht="15.75" customHeight="1" x14ac:dyDescent="0.25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</row>
    <row r="640" spans="1:29" ht="15.75" customHeight="1" x14ac:dyDescent="0.25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</row>
    <row r="641" spans="1:29" ht="15.75" customHeight="1" x14ac:dyDescent="0.25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</row>
    <row r="642" spans="1:29" ht="15.75" customHeight="1" x14ac:dyDescent="0.25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</row>
    <row r="643" spans="1:29" ht="15.75" customHeight="1" x14ac:dyDescent="0.25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</row>
    <row r="644" spans="1:29" ht="15.75" customHeight="1" x14ac:dyDescent="0.25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</row>
    <row r="645" spans="1:29" ht="15.75" customHeight="1" x14ac:dyDescent="0.2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</row>
    <row r="646" spans="1:29" ht="15.75" customHeight="1" x14ac:dyDescent="0.25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</row>
    <row r="647" spans="1:29" ht="15.75" customHeight="1" x14ac:dyDescent="0.25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</row>
    <row r="648" spans="1:29" ht="15.75" customHeight="1" x14ac:dyDescent="0.25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</row>
    <row r="649" spans="1:29" ht="15.75" customHeight="1" x14ac:dyDescent="0.25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</row>
    <row r="650" spans="1:29" ht="15.75" customHeight="1" x14ac:dyDescent="0.25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</row>
    <row r="651" spans="1:29" ht="15.75" customHeight="1" x14ac:dyDescent="0.25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</row>
    <row r="652" spans="1:29" ht="15.75" customHeight="1" x14ac:dyDescent="0.25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</row>
    <row r="653" spans="1:29" ht="15.75" customHeight="1" x14ac:dyDescent="0.25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</row>
    <row r="654" spans="1:29" ht="15.75" customHeight="1" x14ac:dyDescent="0.25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</row>
    <row r="655" spans="1:29" ht="15.75" customHeight="1" x14ac:dyDescent="0.2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</row>
    <row r="656" spans="1:29" ht="15.75" customHeight="1" x14ac:dyDescent="0.25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</row>
    <row r="657" spans="1:29" ht="15.75" customHeight="1" x14ac:dyDescent="0.25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</row>
    <row r="658" spans="1:29" ht="15.75" customHeight="1" x14ac:dyDescent="0.25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</row>
    <row r="659" spans="1:29" ht="15.75" customHeight="1" x14ac:dyDescent="0.25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</row>
    <row r="660" spans="1:29" ht="15.75" customHeight="1" x14ac:dyDescent="0.25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</row>
    <row r="661" spans="1:29" ht="15.75" customHeight="1" x14ac:dyDescent="0.25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</row>
    <row r="662" spans="1:29" ht="15.75" customHeight="1" x14ac:dyDescent="0.25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</row>
    <row r="663" spans="1:29" ht="15.75" customHeight="1" x14ac:dyDescent="0.25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</row>
    <row r="664" spans="1:29" ht="15.75" customHeight="1" x14ac:dyDescent="0.25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</row>
    <row r="665" spans="1:29" ht="15.75" customHeight="1" x14ac:dyDescent="0.2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</row>
    <row r="666" spans="1:29" ht="15.75" customHeight="1" x14ac:dyDescent="0.25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</row>
    <row r="667" spans="1:29" ht="15.75" customHeight="1" x14ac:dyDescent="0.25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</row>
    <row r="668" spans="1:29" ht="15.75" customHeight="1" x14ac:dyDescent="0.25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</row>
    <row r="669" spans="1:29" ht="15.75" customHeight="1" x14ac:dyDescent="0.25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</row>
    <row r="670" spans="1:29" ht="15.75" customHeight="1" x14ac:dyDescent="0.25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</row>
    <row r="671" spans="1:29" ht="15.75" customHeight="1" x14ac:dyDescent="0.25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</row>
    <row r="672" spans="1:29" ht="15.75" customHeight="1" x14ac:dyDescent="0.25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</row>
    <row r="673" spans="1:29" ht="15.75" customHeight="1" x14ac:dyDescent="0.25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</row>
    <row r="674" spans="1:29" ht="15.75" customHeight="1" x14ac:dyDescent="0.25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</row>
    <row r="675" spans="1:29" ht="15.75" customHeight="1" x14ac:dyDescent="0.2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</row>
    <row r="676" spans="1:29" ht="15.75" customHeight="1" x14ac:dyDescent="0.25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</row>
    <row r="677" spans="1:29" ht="15.75" customHeight="1" x14ac:dyDescent="0.25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</row>
    <row r="678" spans="1:29" ht="15.75" customHeight="1" x14ac:dyDescent="0.25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</row>
    <row r="679" spans="1:29" ht="15.75" customHeight="1" x14ac:dyDescent="0.25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</row>
    <row r="680" spans="1:29" ht="15.75" customHeight="1" x14ac:dyDescent="0.25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</row>
    <row r="681" spans="1:29" ht="15.75" customHeight="1" x14ac:dyDescent="0.25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</row>
    <row r="682" spans="1:29" ht="15.75" customHeight="1" x14ac:dyDescent="0.25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</row>
    <row r="683" spans="1:29" ht="15.75" customHeight="1" x14ac:dyDescent="0.25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</row>
    <row r="684" spans="1:29" ht="15.75" customHeight="1" x14ac:dyDescent="0.25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</row>
    <row r="685" spans="1:29" ht="15.75" customHeight="1" x14ac:dyDescent="0.2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</row>
    <row r="686" spans="1:29" ht="15.75" customHeight="1" x14ac:dyDescent="0.25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</row>
    <row r="687" spans="1:29" ht="15.75" customHeight="1" x14ac:dyDescent="0.25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</row>
    <row r="688" spans="1:29" ht="15.75" customHeight="1" x14ac:dyDescent="0.25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</row>
    <row r="689" spans="1:29" ht="15.75" customHeight="1" x14ac:dyDescent="0.25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</row>
    <row r="690" spans="1:29" ht="15.75" customHeight="1" x14ac:dyDescent="0.25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</row>
    <row r="691" spans="1:29" ht="15.75" customHeight="1" x14ac:dyDescent="0.25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</row>
    <row r="692" spans="1:29" ht="15.75" customHeight="1" x14ac:dyDescent="0.25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</row>
    <row r="693" spans="1:29" ht="15.75" customHeight="1" x14ac:dyDescent="0.25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</row>
    <row r="694" spans="1:29" ht="15.75" customHeight="1" x14ac:dyDescent="0.25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</row>
    <row r="695" spans="1:29" ht="15.75" customHeight="1" x14ac:dyDescent="0.2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</row>
    <row r="696" spans="1:29" ht="15.75" customHeight="1" x14ac:dyDescent="0.25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</row>
    <row r="697" spans="1:29" ht="15.75" customHeight="1" x14ac:dyDescent="0.25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</row>
    <row r="698" spans="1:29" ht="15.75" customHeight="1" x14ac:dyDescent="0.25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</row>
    <row r="699" spans="1:29" ht="15.75" customHeight="1" x14ac:dyDescent="0.25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</row>
    <row r="700" spans="1:29" ht="15.75" customHeight="1" x14ac:dyDescent="0.25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</row>
    <row r="701" spans="1:29" ht="15.75" customHeight="1" x14ac:dyDescent="0.25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</row>
    <row r="702" spans="1:29" ht="15.75" customHeight="1" x14ac:dyDescent="0.25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</row>
    <row r="703" spans="1:29" ht="15.75" customHeight="1" x14ac:dyDescent="0.25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</row>
    <row r="704" spans="1:29" ht="15.75" customHeight="1" x14ac:dyDescent="0.25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</row>
    <row r="705" spans="1:29" ht="15.75" customHeight="1" x14ac:dyDescent="0.2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</row>
    <row r="706" spans="1:29" ht="15.75" customHeight="1" x14ac:dyDescent="0.25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</row>
    <row r="707" spans="1:29" ht="15.75" customHeight="1" x14ac:dyDescent="0.25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</row>
    <row r="708" spans="1:29" ht="15.75" customHeight="1" x14ac:dyDescent="0.25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</row>
    <row r="709" spans="1:29" ht="15.75" customHeight="1" x14ac:dyDescent="0.25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</row>
    <row r="710" spans="1:29" ht="15.75" customHeight="1" x14ac:dyDescent="0.25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</row>
    <row r="711" spans="1:29" ht="15.75" customHeight="1" x14ac:dyDescent="0.25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</row>
    <row r="712" spans="1:29" ht="15.75" customHeight="1" x14ac:dyDescent="0.25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</row>
    <row r="713" spans="1:29" ht="15.75" customHeight="1" x14ac:dyDescent="0.25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</row>
    <row r="714" spans="1:29" ht="15.75" customHeight="1" x14ac:dyDescent="0.25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</row>
    <row r="715" spans="1:29" ht="15.75" customHeight="1" x14ac:dyDescent="0.2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</row>
    <row r="716" spans="1:29" ht="15.75" customHeight="1" x14ac:dyDescent="0.25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</row>
    <row r="717" spans="1:29" ht="15.75" customHeight="1" x14ac:dyDescent="0.25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</row>
    <row r="718" spans="1:29" ht="15.75" customHeight="1" x14ac:dyDescent="0.25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</row>
    <row r="719" spans="1:29" ht="15.75" customHeight="1" x14ac:dyDescent="0.25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</row>
    <row r="720" spans="1:29" ht="15.75" customHeight="1" x14ac:dyDescent="0.25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</row>
    <row r="721" spans="1:29" ht="15.75" customHeight="1" x14ac:dyDescent="0.25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</row>
    <row r="722" spans="1:29" ht="15.75" customHeight="1" x14ac:dyDescent="0.25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</row>
    <row r="723" spans="1:29" ht="15.75" customHeight="1" x14ac:dyDescent="0.25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</row>
    <row r="724" spans="1:29" ht="15.75" customHeight="1" x14ac:dyDescent="0.25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</row>
    <row r="725" spans="1:29" ht="15.75" customHeight="1" x14ac:dyDescent="0.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</row>
    <row r="726" spans="1:29" ht="15.75" customHeight="1" x14ac:dyDescent="0.25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</row>
    <row r="727" spans="1:29" ht="15.75" customHeight="1" x14ac:dyDescent="0.25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</row>
    <row r="728" spans="1:29" ht="15.75" customHeight="1" x14ac:dyDescent="0.25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</row>
    <row r="729" spans="1:29" ht="15.75" customHeight="1" x14ac:dyDescent="0.25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</row>
    <row r="730" spans="1:29" ht="15.75" customHeight="1" x14ac:dyDescent="0.25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</row>
    <row r="731" spans="1:29" ht="15.75" customHeight="1" x14ac:dyDescent="0.25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</row>
    <row r="732" spans="1:29" ht="15.75" customHeight="1" x14ac:dyDescent="0.25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</row>
    <row r="733" spans="1:29" ht="15.75" customHeight="1" x14ac:dyDescent="0.25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</row>
    <row r="734" spans="1:29" ht="15.75" customHeight="1" x14ac:dyDescent="0.25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</row>
    <row r="735" spans="1:29" ht="15.75" customHeight="1" x14ac:dyDescent="0.2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</row>
    <row r="736" spans="1:29" ht="15.75" customHeight="1" x14ac:dyDescent="0.25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</row>
    <row r="737" spans="1:29" ht="15.75" customHeight="1" x14ac:dyDescent="0.25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</row>
    <row r="738" spans="1:29" ht="15.75" customHeight="1" x14ac:dyDescent="0.25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</row>
    <row r="739" spans="1:29" ht="15.75" customHeight="1" x14ac:dyDescent="0.25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</row>
    <row r="740" spans="1:29" ht="15.75" customHeight="1" x14ac:dyDescent="0.25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</row>
    <row r="741" spans="1:29" ht="15.75" customHeight="1" x14ac:dyDescent="0.25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</row>
    <row r="742" spans="1:29" ht="15.75" customHeight="1" x14ac:dyDescent="0.25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</row>
    <row r="743" spans="1:29" ht="15.75" customHeight="1" x14ac:dyDescent="0.25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</row>
    <row r="744" spans="1:29" ht="15.75" customHeight="1" x14ac:dyDescent="0.25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</row>
    <row r="745" spans="1:29" ht="15.75" customHeight="1" x14ac:dyDescent="0.2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</row>
    <row r="746" spans="1:29" ht="15.75" customHeight="1" x14ac:dyDescent="0.25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</row>
    <row r="747" spans="1:29" ht="15.75" customHeight="1" x14ac:dyDescent="0.25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</row>
    <row r="748" spans="1:29" ht="15.75" customHeight="1" x14ac:dyDescent="0.25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</row>
    <row r="749" spans="1:29" ht="15.75" customHeight="1" x14ac:dyDescent="0.25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</row>
    <row r="750" spans="1:29" ht="15.75" customHeight="1" x14ac:dyDescent="0.25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</row>
    <row r="751" spans="1:29" ht="15.75" customHeight="1" x14ac:dyDescent="0.25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</row>
    <row r="752" spans="1:29" ht="15.75" customHeight="1" x14ac:dyDescent="0.25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</row>
    <row r="753" spans="1:29" ht="15.75" customHeight="1" x14ac:dyDescent="0.25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</row>
    <row r="754" spans="1:29" ht="15.75" customHeight="1" x14ac:dyDescent="0.25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</row>
    <row r="755" spans="1:29" ht="15.75" customHeight="1" x14ac:dyDescent="0.2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</row>
    <row r="756" spans="1:29" ht="15.75" customHeight="1" x14ac:dyDescent="0.25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</row>
    <row r="757" spans="1:29" ht="15.75" customHeight="1" x14ac:dyDescent="0.25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</row>
    <row r="758" spans="1:29" ht="15.75" customHeight="1" x14ac:dyDescent="0.25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</row>
    <row r="759" spans="1:29" ht="15.75" customHeight="1" x14ac:dyDescent="0.25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</row>
    <row r="760" spans="1:29" ht="15.75" customHeight="1" x14ac:dyDescent="0.25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</row>
    <row r="761" spans="1:29" ht="15.75" customHeight="1" x14ac:dyDescent="0.25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</row>
    <row r="762" spans="1:29" ht="15.75" customHeight="1" x14ac:dyDescent="0.25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</row>
    <row r="763" spans="1:29" ht="15.75" customHeight="1" x14ac:dyDescent="0.25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</row>
    <row r="764" spans="1:29" ht="15.75" customHeight="1" x14ac:dyDescent="0.25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</row>
    <row r="765" spans="1:29" ht="15.75" customHeight="1" x14ac:dyDescent="0.2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</row>
    <row r="766" spans="1:29" ht="15.75" customHeight="1" x14ac:dyDescent="0.25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</row>
    <row r="767" spans="1:29" ht="15.75" customHeight="1" x14ac:dyDescent="0.25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</row>
    <row r="768" spans="1:29" ht="15.75" customHeight="1" x14ac:dyDescent="0.25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</row>
    <row r="769" spans="1:29" ht="15.75" customHeight="1" x14ac:dyDescent="0.25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</row>
    <row r="770" spans="1:29" ht="15.75" customHeight="1" x14ac:dyDescent="0.25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</row>
    <row r="771" spans="1:29" ht="15.75" customHeight="1" x14ac:dyDescent="0.25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</row>
    <row r="772" spans="1:29" ht="15.75" customHeight="1" x14ac:dyDescent="0.25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</row>
    <row r="773" spans="1:29" ht="15.75" customHeight="1" x14ac:dyDescent="0.25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</row>
    <row r="774" spans="1:29" ht="15.75" customHeight="1" x14ac:dyDescent="0.25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</row>
    <row r="775" spans="1:29" ht="15.75" customHeight="1" x14ac:dyDescent="0.2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</row>
    <row r="776" spans="1:29" ht="15.75" customHeight="1" x14ac:dyDescent="0.25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</row>
    <row r="777" spans="1:29" ht="15.75" customHeight="1" x14ac:dyDescent="0.25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</row>
    <row r="778" spans="1:29" ht="15.75" customHeight="1" x14ac:dyDescent="0.25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</row>
    <row r="779" spans="1:29" ht="15.75" customHeight="1" x14ac:dyDescent="0.25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</row>
    <row r="780" spans="1:29" ht="15.75" customHeight="1" x14ac:dyDescent="0.25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</row>
    <row r="781" spans="1:29" ht="15.75" customHeight="1" x14ac:dyDescent="0.25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</row>
    <row r="782" spans="1:29" ht="15.75" customHeight="1" x14ac:dyDescent="0.25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</row>
    <row r="783" spans="1:29" ht="15.75" customHeight="1" x14ac:dyDescent="0.25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</row>
    <row r="784" spans="1:29" ht="15.75" customHeight="1" x14ac:dyDescent="0.25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</row>
    <row r="785" spans="1:29" ht="15.75" customHeight="1" x14ac:dyDescent="0.2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</row>
    <row r="786" spans="1:29" ht="15.75" customHeight="1" x14ac:dyDescent="0.25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</row>
    <row r="787" spans="1:29" ht="15.75" customHeight="1" x14ac:dyDescent="0.25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</row>
    <row r="788" spans="1:29" ht="15.75" customHeight="1" x14ac:dyDescent="0.25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</row>
    <row r="789" spans="1:29" ht="15.75" customHeight="1" x14ac:dyDescent="0.25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</row>
    <row r="790" spans="1:29" ht="15.75" customHeight="1" x14ac:dyDescent="0.25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</row>
    <row r="791" spans="1:29" ht="15.75" customHeight="1" x14ac:dyDescent="0.25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</row>
    <row r="792" spans="1:29" ht="15.75" customHeight="1" x14ac:dyDescent="0.25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</row>
    <row r="793" spans="1:29" ht="15.75" customHeight="1" x14ac:dyDescent="0.25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</row>
    <row r="794" spans="1:29" ht="15.75" customHeight="1" x14ac:dyDescent="0.25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</row>
    <row r="795" spans="1:29" ht="15.75" customHeight="1" x14ac:dyDescent="0.2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</row>
    <row r="796" spans="1:29" ht="15.75" customHeight="1" x14ac:dyDescent="0.25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</row>
    <row r="797" spans="1:29" ht="15.75" customHeight="1" x14ac:dyDescent="0.25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</row>
    <row r="798" spans="1:29" ht="15.75" customHeight="1" x14ac:dyDescent="0.25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</row>
    <row r="799" spans="1:29" ht="15.75" customHeight="1" x14ac:dyDescent="0.25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</row>
    <row r="800" spans="1:29" ht="15.75" customHeight="1" x14ac:dyDescent="0.25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</row>
    <row r="801" spans="1:29" ht="15.75" customHeight="1" x14ac:dyDescent="0.25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</row>
    <row r="802" spans="1:29" ht="15.75" customHeight="1" x14ac:dyDescent="0.25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</row>
    <row r="803" spans="1:29" ht="15.75" customHeight="1" x14ac:dyDescent="0.25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</row>
    <row r="804" spans="1:29" ht="15.75" customHeight="1" x14ac:dyDescent="0.25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</row>
    <row r="805" spans="1:29" ht="15.75" customHeight="1" x14ac:dyDescent="0.2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</row>
    <row r="806" spans="1:29" ht="15.75" customHeight="1" x14ac:dyDescent="0.25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</row>
    <row r="807" spans="1:29" ht="15.75" customHeight="1" x14ac:dyDescent="0.25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</row>
    <row r="808" spans="1:29" ht="15.75" customHeight="1" x14ac:dyDescent="0.25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</row>
    <row r="809" spans="1:29" ht="15.75" customHeight="1" x14ac:dyDescent="0.25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</row>
    <row r="810" spans="1:29" ht="15.75" customHeight="1" x14ac:dyDescent="0.25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</row>
    <row r="811" spans="1:29" ht="15.75" customHeight="1" x14ac:dyDescent="0.25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</row>
    <row r="812" spans="1:29" ht="15.75" customHeight="1" x14ac:dyDescent="0.25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</row>
    <row r="813" spans="1:29" ht="15.75" customHeight="1" x14ac:dyDescent="0.25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</row>
    <row r="814" spans="1:29" ht="15.75" customHeight="1" x14ac:dyDescent="0.25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</row>
    <row r="815" spans="1:29" ht="15.75" customHeight="1" x14ac:dyDescent="0.2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</row>
    <row r="816" spans="1:29" ht="15.75" customHeight="1" x14ac:dyDescent="0.25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</row>
    <row r="817" spans="1:29" ht="15.75" customHeight="1" x14ac:dyDescent="0.25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</row>
    <row r="818" spans="1:29" ht="15.75" customHeight="1" x14ac:dyDescent="0.25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</row>
    <row r="819" spans="1:29" ht="15.75" customHeight="1" x14ac:dyDescent="0.25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</row>
    <row r="820" spans="1:29" ht="15.75" customHeight="1" x14ac:dyDescent="0.25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</row>
    <row r="821" spans="1:29" ht="15.75" customHeight="1" x14ac:dyDescent="0.25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</row>
    <row r="822" spans="1:29" ht="15.75" customHeight="1" x14ac:dyDescent="0.25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</row>
    <row r="823" spans="1:29" ht="15.75" customHeight="1" x14ac:dyDescent="0.25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</row>
    <row r="824" spans="1:29" ht="15.75" customHeight="1" x14ac:dyDescent="0.25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</row>
    <row r="825" spans="1:29" ht="15.75" customHeight="1" x14ac:dyDescent="0.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</row>
    <row r="826" spans="1:29" ht="15.75" customHeight="1" x14ac:dyDescent="0.25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</row>
    <row r="827" spans="1:29" ht="15.75" customHeight="1" x14ac:dyDescent="0.25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</row>
    <row r="828" spans="1:29" ht="15.75" customHeight="1" x14ac:dyDescent="0.25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</row>
    <row r="829" spans="1:29" ht="15.75" customHeight="1" x14ac:dyDescent="0.25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</row>
    <row r="830" spans="1:29" ht="15.75" customHeight="1" x14ac:dyDescent="0.25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</row>
    <row r="831" spans="1:29" ht="15.75" customHeight="1" x14ac:dyDescent="0.25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</row>
    <row r="832" spans="1:29" ht="15.75" customHeight="1" x14ac:dyDescent="0.25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</row>
    <row r="833" spans="1:29" ht="15.75" customHeight="1" x14ac:dyDescent="0.25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</row>
    <row r="834" spans="1:29" ht="15.75" customHeight="1" x14ac:dyDescent="0.25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</row>
    <row r="835" spans="1:29" ht="15.75" customHeight="1" x14ac:dyDescent="0.2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</row>
    <row r="836" spans="1:29" ht="15.75" customHeight="1" x14ac:dyDescent="0.25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</row>
    <row r="837" spans="1:29" ht="15.75" customHeight="1" x14ac:dyDescent="0.25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</row>
    <row r="838" spans="1:29" ht="15.75" customHeight="1" x14ac:dyDescent="0.25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</row>
    <row r="839" spans="1:29" ht="15.75" customHeight="1" x14ac:dyDescent="0.25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</row>
    <row r="840" spans="1:29" ht="15.75" customHeight="1" x14ac:dyDescent="0.25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</row>
    <row r="841" spans="1:29" ht="15.75" customHeight="1" x14ac:dyDescent="0.25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</row>
    <row r="842" spans="1:29" ht="15.75" customHeight="1" x14ac:dyDescent="0.25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</row>
    <row r="843" spans="1:29" ht="15.75" customHeight="1" x14ac:dyDescent="0.25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</row>
    <row r="844" spans="1:29" ht="15.75" customHeight="1" x14ac:dyDescent="0.25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</row>
    <row r="845" spans="1:29" ht="15.75" customHeight="1" x14ac:dyDescent="0.2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</row>
    <row r="846" spans="1:29" ht="15.75" customHeight="1" x14ac:dyDescent="0.25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</row>
    <row r="847" spans="1:29" ht="15.75" customHeight="1" x14ac:dyDescent="0.25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</row>
    <row r="848" spans="1:29" ht="15.75" customHeight="1" x14ac:dyDescent="0.25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</row>
    <row r="849" spans="1:29" ht="15.75" customHeight="1" x14ac:dyDescent="0.25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</row>
    <row r="850" spans="1:29" ht="15.75" customHeight="1" x14ac:dyDescent="0.25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</row>
    <row r="851" spans="1:29" ht="15.75" customHeight="1" x14ac:dyDescent="0.25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</row>
    <row r="852" spans="1:29" ht="15.75" customHeight="1" x14ac:dyDescent="0.25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</row>
    <row r="853" spans="1:29" ht="15.75" customHeight="1" x14ac:dyDescent="0.25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</row>
    <row r="854" spans="1:29" ht="15.75" customHeight="1" x14ac:dyDescent="0.25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</row>
    <row r="855" spans="1:29" ht="15.75" customHeight="1" x14ac:dyDescent="0.2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</row>
    <row r="856" spans="1:29" ht="15.75" customHeight="1" x14ac:dyDescent="0.25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</row>
    <row r="857" spans="1:29" ht="15.75" customHeight="1" x14ac:dyDescent="0.25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</row>
    <row r="858" spans="1:29" ht="15.75" customHeight="1" x14ac:dyDescent="0.25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</row>
    <row r="859" spans="1:29" ht="15.75" customHeight="1" x14ac:dyDescent="0.25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</row>
    <row r="860" spans="1:29" ht="15.75" customHeight="1" x14ac:dyDescent="0.25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</row>
    <row r="861" spans="1:29" ht="15.75" customHeight="1" x14ac:dyDescent="0.25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</row>
    <row r="862" spans="1:29" ht="15.75" customHeight="1" x14ac:dyDescent="0.25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</row>
    <row r="863" spans="1:29" ht="15.75" customHeight="1" x14ac:dyDescent="0.25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</row>
    <row r="864" spans="1:29" ht="15.75" customHeight="1" x14ac:dyDescent="0.25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</row>
    <row r="865" spans="1:29" ht="15.75" customHeight="1" x14ac:dyDescent="0.2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</row>
    <row r="866" spans="1:29" ht="15.75" customHeight="1" x14ac:dyDescent="0.25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</row>
    <row r="867" spans="1:29" ht="15.75" customHeight="1" x14ac:dyDescent="0.25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</row>
    <row r="868" spans="1:29" ht="15.75" customHeight="1" x14ac:dyDescent="0.25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</row>
    <row r="869" spans="1:29" ht="15.75" customHeight="1" x14ac:dyDescent="0.25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</row>
    <row r="870" spans="1:29" ht="15.75" customHeight="1" x14ac:dyDescent="0.25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</row>
    <row r="871" spans="1:29" ht="15.75" customHeight="1" x14ac:dyDescent="0.25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</row>
    <row r="872" spans="1:29" ht="15.75" customHeight="1" x14ac:dyDescent="0.25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</row>
    <row r="873" spans="1:29" ht="15.75" customHeight="1" x14ac:dyDescent="0.25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</row>
    <row r="874" spans="1:29" ht="15.75" customHeight="1" x14ac:dyDescent="0.25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</row>
    <row r="875" spans="1:29" ht="15.75" customHeight="1" x14ac:dyDescent="0.2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</row>
    <row r="876" spans="1:29" ht="15.75" customHeight="1" x14ac:dyDescent="0.25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</row>
    <row r="877" spans="1:29" ht="15.75" customHeight="1" x14ac:dyDescent="0.25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</row>
    <row r="878" spans="1:29" ht="15.75" customHeight="1" x14ac:dyDescent="0.25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</row>
    <row r="879" spans="1:29" ht="15.75" customHeight="1" x14ac:dyDescent="0.25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</row>
    <row r="880" spans="1:29" ht="15.75" customHeight="1" x14ac:dyDescent="0.25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</row>
    <row r="881" spans="1:29" ht="15.75" customHeight="1" x14ac:dyDescent="0.25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</row>
    <row r="882" spans="1:29" ht="15.75" customHeight="1" x14ac:dyDescent="0.25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</row>
    <row r="883" spans="1:29" ht="15.75" customHeight="1" x14ac:dyDescent="0.25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</row>
    <row r="884" spans="1:29" ht="15.75" customHeight="1" x14ac:dyDescent="0.25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</row>
    <row r="885" spans="1:29" ht="15.75" customHeight="1" x14ac:dyDescent="0.2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</row>
    <row r="886" spans="1:29" ht="15.75" customHeight="1" x14ac:dyDescent="0.25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</row>
    <row r="887" spans="1:29" ht="15.75" customHeight="1" x14ac:dyDescent="0.25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</row>
    <row r="888" spans="1:29" ht="15.75" customHeight="1" x14ac:dyDescent="0.25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</row>
    <row r="889" spans="1:29" ht="15.75" customHeight="1" x14ac:dyDescent="0.25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</row>
    <row r="890" spans="1:29" ht="15.75" customHeight="1" x14ac:dyDescent="0.25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</row>
    <row r="891" spans="1:29" ht="15.75" customHeight="1" x14ac:dyDescent="0.25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</row>
    <row r="892" spans="1:29" ht="15.75" customHeight="1" x14ac:dyDescent="0.25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</row>
    <row r="893" spans="1:29" ht="15.75" customHeight="1" x14ac:dyDescent="0.25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</row>
    <row r="894" spans="1:29" ht="15.75" customHeight="1" x14ac:dyDescent="0.25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</row>
    <row r="895" spans="1:29" ht="15.75" customHeight="1" x14ac:dyDescent="0.2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</row>
    <row r="896" spans="1:29" ht="15.75" customHeight="1" x14ac:dyDescent="0.25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</row>
    <row r="897" spans="1:29" ht="15.75" customHeight="1" x14ac:dyDescent="0.25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</row>
    <row r="898" spans="1:29" ht="15.75" customHeight="1" x14ac:dyDescent="0.25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</row>
    <row r="899" spans="1:29" ht="15.75" customHeight="1" x14ac:dyDescent="0.25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</row>
    <row r="900" spans="1:29" ht="15.75" customHeight="1" x14ac:dyDescent="0.25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</row>
    <row r="901" spans="1:29" ht="15.75" customHeight="1" x14ac:dyDescent="0.25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</row>
    <row r="902" spans="1:29" ht="15.75" customHeight="1" x14ac:dyDescent="0.25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</row>
    <row r="903" spans="1:29" ht="15.75" customHeight="1" x14ac:dyDescent="0.25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</row>
    <row r="904" spans="1:29" ht="15.75" customHeight="1" x14ac:dyDescent="0.25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</row>
    <row r="905" spans="1:29" ht="15.75" customHeight="1" x14ac:dyDescent="0.2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</row>
    <row r="906" spans="1:29" ht="15.75" customHeight="1" x14ac:dyDescent="0.25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</row>
    <row r="907" spans="1:29" ht="15.75" customHeight="1" x14ac:dyDescent="0.25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</row>
    <row r="908" spans="1:29" ht="15.75" customHeight="1" x14ac:dyDescent="0.25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</row>
    <row r="909" spans="1:29" ht="15.75" customHeight="1" x14ac:dyDescent="0.25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</row>
    <row r="910" spans="1:29" ht="15.75" customHeight="1" x14ac:dyDescent="0.25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</row>
    <row r="911" spans="1:29" ht="15.75" customHeight="1" x14ac:dyDescent="0.25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</row>
    <row r="912" spans="1:29" ht="15.75" customHeight="1" x14ac:dyDescent="0.25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</row>
    <row r="913" spans="1:29" ht="15.75" customHeight="1" x14ac:dyDescent="0.25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</row>
    <row r="914" spans="1:29" ht="15.75" customHeight="1" x14ac:dyDescent="0.25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</row>
    <row r="915" spans="1:29" ht="15.75" customHeight="1" x14ac:dyDescent="0.2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</row>
    <row r="916" spans="1:29" ht="15.75" customHeight="1" x14ac:dyDescent="0.25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</row>
    <row r="917" spans="1:29" ht="15.75" customHeight="1" x14ac:dyDescent="0.25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</row>
    <row r="918" spans="1:29" ht="15.75" customHeight="1" x14ac:dyDescent="0.25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</row>
    <row r="919" spans="1:29" ht="15.75" customHeight="1" x14ac:dyDescent="0.25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</row>
    <row r="920" spans="1:29" ht="15.75" customHeight="1" x14ac:dyDescent="0.25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</row>
    <row r="921" spans="1:29" ht="15.75" customHeight="1" x14ac:dyDescent="0.25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</row>
    <row r="922" spans="1:29" ht="15.75" customHeight="1" x14ac:dyDescent="0.25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</row>
    <row r="923" spans="1:29" ht="15.75" customHeight="1" x14ac:dyDescent="0.25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</row>
    <row r="924" spans="1:29" ht="15.75" customHeight="1" x14ac:dyDescent="0.25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</row>
    <row r="925" spans="1:29" ht="15.75" customHeight="1" x14ac:dyDescent="0.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</row>
    <row r="926" spans="1:29" ht="15.75" customHeight="1" x14ac:dyDescent="0.25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</row>
    <row r="927" spans="1:29" ht="15.75" customHeight="1" x14ac:dyDescent="0.25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</row>
    <row r="928" spans="1:29" ht="15.75" customHeight="1" x14ac:dyDescent="0.25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</row>
    <row r="929" spans="1:29" ht="15.75" customHeight="1" x14ac:dyDescent="0.25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</row>
    <row r="930" spans="1:29" ht="15.75" customHeight="1" x14ac:dyDescent="0.25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</row>
    <row r="931" spans="1:29" ht="15.75" customHeight="1" x14ac:dyDescent="0.25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</row>
    <row r="932" spans="1:29" ht="15.75" customHeight="1" x14ac:dyDescent="0.25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</row>
    <row r="933" spans="1:29" ht="15.75" customHeight="1" x14ac:dyDescent="0.25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</row>
    <row r="934" spans="1:29" ht="15.75" customHeight="1" x14ac:dyDescent="0.25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</row>
    <row r="935" spans="1:29" ht="15.75" customHeight="1" x14ac:dyDescent="0.2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</row>
    <row r="936" spans="1:29" ht="15.75" customHeight="1" x14ac:dyDescent="0.25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</row>
    <row r="937" spans="1:29" ht="15.75" customHeight="1" x14ac:dyDescent="0.25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</row>
    <row r="938" spans="1:29" ht="15.75" customHeight="1" x14ac:dyDescent="0.25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</row>
    <row r="939" spans="1:29" ht="15.75" customHeight="1" x14ac:dyDescent="0.25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</row>
    <row r="940" spans="1:29" ht="15.75" customHeight="1" x14ac:dyDescent="0.25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</row>
    <row r="941" spans="1:29" ht="15.75" customHeight="1" x14ac:dyDescent="0.25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</row>
    <row r="942" spans="1:29" ht="15.75" customHeight="1" x14ac:dyDescent="0.25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</row>
    <row r="943" spans="1:29" ht="15.75" customHeight="1" x14ac:dyDescent="0.25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</row>
    <row r="944" spans="1:29" ht="15.75" customHeight="1" x14ac:dyDescent="0.25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</row>
    <row r="945" spans="1:29" ht="15.75" customHeight="1" x14ac:dyDescent="0.2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</row>
    <row r="946" spans="1:29" ht="15.75" customHeight="1" x14ac:dyDescent="0.25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</row>
    <row r="947" spans="1:29" ht="15.75" customHeight="1" x14ac:dyDescent="0.25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</row>
    <row r="948" spans="1:29" ht="15.75" customHeight="1" x14ac:dyDescent="0.25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</row>
    <row r="949" spans="1:29" ht="15.75" customHeight="1" x14ac:dyDescent="0.25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</row>
    <row r="950" spans="1:29" ht="15.75" customHeight="1" x14ac:dyDescent="0.25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</row>
    <row r="951" spans="1:29" ht="15.75" customHeight="1" x14ac:dyDescent="0.25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</row>
    <row r="952" spans="1:29" ht="15.75" customHeight="1" x14ac:dyDescent="0.25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</row>
    <row r="953" spans="1:29" ht="15.75" customHeight="1" x14ac:dyDescent="0.25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</row>
    <row r="954" spans="1:29" ht="15.75" customHeight="1" x14ac:dyDescent="0.25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</row>
    <row r="955" spans="1:29" ht="15.75" customHeight="1" x14ac:dyDescent="0.2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</row>
    <row r="956" spans="1:29" ht="15.75" customHeight="1" x14ac:dyDescent="0.25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</row>
    <row r="957" spans="1:29" ht="15.75" customHeight="1" x14ac:dyDescent="0.25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</row>
    <row r="958" spans="1:29" ht="15.75" customHeight="1" x14ac:dyDescent="0.25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</row>
    <row r="959" spans="1:29" ht="15.75" customHeight="1" x14ac:dyDescent="0.25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</row>
    <row r="960" spans="1:29" ht="15.75" customHeight="1" x14ac:dyDescent="0.25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</row>
    <row r="961" spans="1:29" ht="15.75" customHeight="1" x14ac:dyDescent="0.25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</row>
    <row r="962" spans="1:29" ht="15.75" customHeight="1" x14ac:dyDescent="0.25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</row>
    <row r="963" spans="1:29" ht="15.75" customHeight="1" x14ac:dyDescent="0.25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</row>
    <row r="964" spans="1:29" ht="15.75" customHeight="1" x14ac:dyDescent="0.25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</row>
    <row r="965" spans="1:29" ht="15.75" customHeight="1" x14ac:dyDescent="0.2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</row>
    <row r="966" spans="1:29" ht="15.75" customHeight="1" x14ac:dyDescent="0.25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</row>
    <row r="967" spans="1:29" ht="15.75" customHeight="1" x14ac:dyDescent="0.25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</row>
    <row r="968" spans="1:29" ht="15.75" customHeight="1" x14ac:dyDescent="0.25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</row>
    <row r="969" spans="1:29" ht="15.75" customHeight="1" x14ac:dyDescent="0.25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</row>
    <row r="970" spans="1:29" ht="15.75" customHeight="1" x14ac:dyDescent="0.25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</row>
    <row r="971" spans="1:29" ht="15.75" customHeight="1" x14ac:dyDescent="0.25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</row>
    <row r="972" spans="1:29" ht="15.75" customHeight="1" x14ac:dyDescent="0.25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</row>
    <row r="973" spans="1:29" ht="15.75" customHeight="1" x14ac:dyDescent="0.25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</row>
    <row r="974" spans="1:29" ht="15.75" customHeight="1" x14ac:dyDescent="0.25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</row>
    <row r="975" spans="1:29" ht="15.75" customHeight="1" x14ac:dyDescent="0.2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</row>
    <row r="976" spans="1:29" ht="15.75" customHeight="1" x14ac:dyDescent="0.25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</row>
    <row r="977" spans="1:29" ht="15.75" customHeight="1" x14ac:dyDescent="0.25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</row>
    <row r="978" spans="1:29" ht="15.75" customHeight="1" x14ac:dyDescent="0.25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</row>
    <row r="979" spans="1:29" ht="15.75" customHeight="1" x14ac:dyDescent="0.25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</row>
    <row r="980" spans="1:29" ht="15.75" customHeight="1" x14ac:dyDescent="0.25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</row>
    <row r="981" spans="1:29" ht="15.75" customHeight="1" x14ac:dyDescent="0.25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</row>
    <row r="982" spans="1:29" ht="15.75" customHeight="1" x14ac:dyDescent="0.25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</row>
    <row r="983" spans="1:29" ht="15.75" customHeight="1" x14ac:dyDescent="0.25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</row>
    <row r="984" spans="1:29" ht="15.75" customHeight="1" x14ac:dyDescent="0.25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</row>
    <row r="985" spans="1:29" ht="15.75" customHeight="1" x14ac:dyDescent="0.2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</row>
    <row r="986" spans="1:29" ht="15.75" customHeight="1" x14ac:dyDescent="0.25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</row>
    <row r="987" spans="1:29" ht="15.75" customHeight="1" x14ac:dyDescent="0.25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</row>
    <row r="988" spans="1:29" ht="15.75" customHeight="1" x14ac:dyDescent="0.25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</row>
    <row r="989" spans="1:29" ht="15.75" customHeight="1" x14ac:dyDescent="0.25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</row>
    <row r="990" spans="1:29" ht="15.75" customHeight="1" x14ac:dyDescent="0.25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</row>
    <row r="991" spans="1:29" ht="15.75" customHeight="1" x14ac:dyDescent="0.25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</row>
    <row r="992" spans="1:29" ht="15.75" customHeight="1" x14ac:dyDescent="0.25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</row>
    <row r="993" spans="1:29" ht="15.75" customHeight="1" x14ac:dyDescent="0.25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</row>
    <row r="994" spans="1:29" ht="15.75" customHeight="1" x14ac:dyDescent="0.25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</row>
    <row r="995" spans="1:29" ht="15.75" customHeight="1" x14ac:dyDescent="0.2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</row>
    <row r="996" spans="1:29" ht="15.75" customHeight="1" x14ac:dyDescent="0.25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</row>
    <row r="997" spans="1:29" ht="15.75" customHeight="1" x14ac:dyDescent="0.25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</row>
    <row r="998" spans="1:29" ht="15.75" customHeight="1" x14ac:dyDescent="0.25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</row>
  </sheetData>
  <mergeCells count="21">
    <mergeCell ref="P14:P15"/>
    <mergeCell ref="R14:R15"/>
    <mergeCell ref="B13:B15"/>
    <mergeCell ref="D13:D15"/>
    <mergeCell ref="B11:R12"/>
    <mergeCell ref="F13:F15"/>
    <mergeCell ref="H13:K13"/>
    <mergeCell ref="Q14:Q15"/>
    <mergeCell ref="B1:J1"/>
    <mergeCell ref="C13:C15"/>
    <mergeCell ref="L14:L15"/>
    <mergeCell ref="N14:N15"/>
    <mergeCell ref="I14:I15"/>
    <mergeCell ref="K14:K15"/>
    <mergeCell ref="M14:M15"/>
    <mergeCell ref="L13:R13"/>
    <mergeCell ref="G13:G15"/>
    <mergeCell ref="O14:O15"/>
    <mergeCell ref="E13:E15"/>
    <mergeCell ref="H14:H15"/>
    <mergeCell ref="J14:J15"/>
  </mergeCells>
  <dataValidations count="2">
    <dataValidation type="list" allowBlank="1" showErrorMessage="1" sqref="K16">
      <formula1>"To do,In progress,Review,Done"</formula1>
    </dataValidation>
    <dataValidation type="list" allowBlank="1" showErrorMessage="1" sqref="R16">
      <formula1>"To do,Testing,Fix bug,Regression,Done"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A6" sqref="A6:XFD6"/>
    </sheetView>
  </sheetViews>
  <sheetFormatPr defaultColWidth="12.6640625" defaultRowHeight="15" customHeight="1" x14ac:dyDescent="0.25"/>
  <cols>
    <col min="1" max="1" width="13.88671875" style="57" customWidth="1"/>
    <col min="2" max="2" width="80.77734375" style="57" customWidth="1"/>
    <col min="3" max="3" width="12.6640625" style="57" customWidth="1"/>
    <col min="4" max="4" width="14.77734375" style="57" customWidth="1"/>
    <col min="5" max="6" width="12.6640625" style="57" customWidth="1"/>
  </cols>
  <sheetData>
    <row r="1" spans="1:26" ht="32.25" customHeight="1" x14ac:dyDescent="0.25">
      <c r="A1" s="91" t="s">
        <v>49</v>
      </c>
      <c r="B1" s="67"/>
      <c r="C1" s="67"/>
      <c r="D1" s="67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5.75" customHeight="1" x14ac:dyDescent="0.25">
      <c r="A2" s="94"/>
      <c r="B2" s="67"/>
      <c r="C2" s="67"/>
      <c r="D2" s="67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.75" customHeight="1" x14ac:dyDescent="0.25">
      <c r="A3" s="92" t="s">
        <v>50</v>
      </c>
      <c r="B3" s="93"/>
      <c r="C3" s="93"/>
      <c r="D3" s="93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5.75" customHeight="1" x14ac:dyDescent="0.25">
      <c r="A4" s="21" t="s">
        <v>51</v>
      </c>
      <c r="B4" s="22" t="s">
        <v>52</v>
      </c>
      <c r="C4" s="23" t="s">
        <v>18</v>
      </c>
      <c r="D4" s="24" t="s">
        <v>53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8" customHeight="1" x14ac:dyDescent="0.25">
      <c r="A5" s="25">
        <v>46150</v>
      </c>
      <c r="B5" s="26" t="s">
        <v>54</v>
      </c>
      <c r="C5" s="27">
        <v>0.1</v>
      </c>
      <c r="D5" s="27" t="s">
        <v>11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s="57" customFormat="1" ht="18" customHeight="1" x14ac:dyDescent="0.25">
      <c r="A6" s="25">
        <v>46153</v>
      </c>
      <c r="B6" s="26" t="s">
        <v>925</v>
      </c>
      <c r="C6" s="27">
        <v>0.2</v>
      </c>
      <c r="D6" s="27" t="s">
        <v>11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5.75" customHeight="1" x14ac:dyDescent="0.25">
      <c r="A7" s="28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5.75" customHeight="1" x14ac:dyDescent="0.25">
      <c r="A8" s="28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5.75" customHeight="1" x14ac:dyDescent="0.25">
      <c r="A9" s="28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5.75" customHeight="1" x14ac:dyDescent="0.25">
      <c r="A10" s="28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5.75" customHeight="1" x14ac:dyDescent="0.25">
      <c r="A11" s="28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5.75" customHeight="1" x14ac:dyDescent="0.25">
      <c r="A12" s="28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 x14ac:dyDescent="0.25">
      <c r="A13" s="28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 x14ac:dyDescent="0.25">
      <c r="A14" s="28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 x14ac:dyDescent="0.25">
      <c r="A15" s="28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 x14ac:dyDescent="0.25">
      <c r="A16" s="28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25">
      <c r="A17" s="28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 x14ac:dyDescent="0.25">
      <c r="A18" s="28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25">
      <c r="A19" s="28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25">
      <c r="A20" s="28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 x14ac:dyDescent="0.25">
      <c r="A21" s="28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 x14ac:dyDescent="0.25">
      <c r="A22" s="28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 x14ac:dyDescent="0.25">
      <c r="A23" s="28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 x14ac:dyDescent="0.25">
      <c r="A24" s="28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 x14ac:dyDescent="0.25">
      <c r="A25" s="28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 x14ac:dyDescent="0.25">
      <c r="A26" s="28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25">
      <c r="A27" s="28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25">
      <c r="A28" s="28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25">
      <c r="A29" s="28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25">
      <c r="A30" s="28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25">
      <c r="A31" s="28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25">
      <c r="A32" s="28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 x14ac:dyDescent="0.25">
      <c r="A33" s="28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 x14ac:dyDescent="0.25">
      <c r="A34" s="28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 x14ac:dyDescent="0.25">
      <c r="A35" s="28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 x14ac:dyDescent="0.25">
      <c r="A36" s="28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 x14ac:dyDescent="0.25">
      <c r="A37" s="28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 x14ac:dyDescent="0.25">
      <c r="A38" s="28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 x14ac:dyDescent="0.25">
      <c r="A39" s="28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 x14ac:dyDescent="0.25">
      <c r="A40" s="28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 x14ac:dyDescent="0.25">
      <c r="A41" s="28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 x14ac:dyDescent="0.25">
      <c r="A42" s="28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 x14ac:dyDescent="0.25">
      <c r="A43" s="28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25">
      <c r="A44" s="28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 x14ac:dyDescent="0.25">
      <c r="A45" s="28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 x14ac:dyDescent="0.25">
      <c r="A46" s="28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 x14ac:dyDescent="0.25">
      <c r="A47" s="28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 x14ac:dyDescent="0.25">
      <c r="A48" s="28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5.75" customHeight="1" x14ac:dyDescent="0.25">
      <c r="A49" s="28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5.75" customHeight="1" x14ac:dyDescent="0.25">
      <c r="A50" s="28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5.75" customHeight="1" x14ac:dyDescent="0.25">
      <c r="A51" s="28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5.75" customHeight="1" x14ac:dyDescent="0.25">
      <c r="A52" s="28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5.75" customHeight="1" x14ac:dyDescent="0.25">
      <c r="A53" s="28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5.75" customHeight="1" x14ac:dyDescent="0.25">
      <c r="A54" s="28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5.75" customHeight="1" x14ac:dyDescent="0.25">
      <c r="A55" s="28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5.75" customHeight="1" x14ac:dyDescent="0.25">
      <c r="A56" s="28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5.75" customHeight="1" x14ac:dyDescent="0.25">
      <c r="A57" s="28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5.75" customHeight="1" x14ac:dyDescent="0.25">
      <c r="A58" s="28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5.75" customHeight="1" x14ac:dyDescent="0.25">
      <c r="A59" s="28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5.75" customHeight="1" x14ac:dyDescent="0.25">
      <c r="A60" s="28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5.75" customHeight="1" x14ac:dyDescent="0.25">
      <c r="A61" s="28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5.75" customHeight="1" x14ac:dyDescent="0.25">
      <c r="A62" s="28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5.75" customHeight="1" x14ac:dyDescent="0.25">
      <c r="A63" s="28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5.75" customHeight="1" x14ac:dyDescent="0.25">
      <c r="A64" s="28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 customHeight="1" x14ac:dyDescent="0.25">
      <c r="A65" s="28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 customHeight="1" x14ac:dyDescent="0.25">
      <c r="A66" s="28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 customHeight="1" x14ac:dyDescent="0.25">
      <c r="A67" s="28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 customHeight="1" x14ac:dyDescent="0.25">
      <c r="A68" s="28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 customHeight="1" x14ac:dyDescent="0.25">
      <c r="A69" s="28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75" customHeight="1" x14ac:dyDescent="0.25">
      <c r="A70" s="28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 x14ac:dyDescent="0.25">
      <c r="A71" s="28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 customHeight="1" x14ac:dyDescent="0.25">
      <c r="A72" s="28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 customHeight="1" x14ac:dyDescent="0.25">
      <c r="A73" s="28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 customHeight="1" x14ac:dyDescent="0.25">
      <c r="A74" s="28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 customHeight="1" x14ac:dyDescent="0.25">
      <c r="A75" s="28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 customHeight="1" x14ac:dyDescent="0.25">
      <c r="A76" s="28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 customHeight="1" x14ac:dyDescent="0.25">
      <c r="A77" s="28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75" customHeight="1" x14ac:dyDescent="0.25">
      <c r="A78" s="28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75" customHeight="1" x14ac:dyDescent="0.25">
      <c r="A79" s="28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75" customHeight="1" x14ac:dyDescent="0.25">
      <c r="A80" s="28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75" customHeight="1" x14ac:dyDescent="0.25">
      <c r="A81" s="28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5.75" customHeight="1" x14ac:dyDescent="0.25">
      <c r="A82" s="28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5.75" customHeight="1" x14ac:dyDescent="0.25">
      <c r="A83" s="28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5.75" customHeight="1" x14ac:dyDescent="0.25">
      <c r="A84" s="28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5.75" customHeight="1" x14ac:dyDescent="0.25">
      <c r="A85" s="28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5.75" customHeight="1" x14ac:dyDescent="0.25">
      <c r="A86" s="28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5.75" customHeight="1" x14ac:dyDescent="0.25">
      <c r="A87" s="28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5.75" customHeight="1" x14ac:dyDescent="0.25">
      <c r="A88" s="28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5.75" customHeight="1" x14ac:dyDescent="0.25">
      <c r="A89" s="28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5.75" customHeight="1" x14ac:dyDescent="0.25">
      <c r="A90" s="28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5.75" customHeight="1" x14ac:dyDescent="0.25">
      <c r="A91" s="28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5.75" customHeight="1" x14ac:dyDescent="0.25">
      <c r="A92" s="28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5.75" customHeight="1" x14ac:dyDescent="0.25">
      <c r="A93" s="28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5.75" customHeight="1" x14ac:dyDescent="0.25">
      <c r="A94" s="28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5.75" customHeight="1" x14ac:dyDescent="0.25">
      <c r="A95" s="28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75" customHeight="1" x14ac:dyDescent="0.25">
      <c r="A96" s="28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5.75" customHeight="1" x14ac:dyDescent="0.25">
      <c r="A97" s="28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5.75" customHeight="1" x14ac:dyDescent="0.25">
      <c r="A98" s="28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 x14ac:dyDescent="0.25">
      <c r="A99" s="28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 x14ac:dyDescent="0.25">
      <c r="A100" s="28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 x14ac:dyDescent="0.25">
      <c r="A101" s="28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 x14ac:dyDescent="0.25">
      <c r="A102" s="28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 x14ac:dyDescent="0.25">
      <c r="A103" s="28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 x14ac:dyDescent="0.25">
      <c r="A104" s="28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 x14ac:dyDescent="0.25">
      <c r="A105" s="28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 x14ac:dyDescent="0.25">
      <c r="A106" s="28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 x14ac:dyDescent="0.25">
      <c r="A107" s="28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 x14ac:dyDescent="0.25">
      <c r="A108" s="28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 x14ac:dyDescent="0.25">
      <c r="A109" s="28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x14ac:dyDescent="0.25">
      <c r="A110" s="28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x14ac:dyDescent="0.25">
      <c r="A111" s="28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x14ac:dyDescent="0.25">
      <c r="A112" s="28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x14ac:dyDescent="0.25">
      <c r="A113" s="28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x14ac:dyDescent="0.25">
      <c r="A114" s="28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25">
      <c r="A115" s="28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x14ac:dyDescent="0.25">
      <c r="A116" s="28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x14ac:dyDescent="0.25">
      <c r="A117" s="28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x14ac:dyDescent="0.25">
      <c r="A118" s="28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x14ac:dyDescent="0.25">
      <c r="A119" s="28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x14ac:dyDescent="0.25">
      <c r="A120" s="28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x14ac:dyDescent="0.25">
      <c r="A121" s="28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x14ac:dyDescent="0.25">
      <c r="A122" s="28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x14ac:dyDescent="0.25">
      <c r="A123" s="28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x14ac:dyDescent="0.25">
      <c r="A124" s="28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x14ac:dyDescent="0.25">
      <c r="A125" s="28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25">
      <c r="A126" s="28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x14ac:dyDescent="0.25">
      <c r="A127" s="28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25">
      <c r="A128" s="28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x14ac:dyDescent="0.25">
      <c r="A129" s="28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x14ac:dyDescent="0.25">
      <c r="A130" s="28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x14ac:dyDescent="0.25">
      <c r="A131" s="28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x14ac:dyDescent="0.25">
      <c r="A132" s="28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x14ac:dyDescent="0.25">
      <c r="A133" s="28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x14ac:dyDescent="0.25">
      <c r="A134" s="28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25">
      <c r="A135" s="28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x14ac:dyDescent="0.25">
      <c r="A136" s="28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x14ac:dyDescent="0.25">
      <c r="A137" s="28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x14ac:dyDescent="0.25">
      <c r="A138" s="28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25">
      <c r="A139" s="28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x14ac:dyDescent="0.25">
      <c r="A140" s="28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x14ac:dyDescent="0.25">
      <c r="A141" s="28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x14ac:dyDescent="0.25">
      <c r="A142" s="28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x14ac:dyDescent="0.25">
      <c r="A143" s="28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x14ac:dyDescent="0.25">
      <c r="A144" s="28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x14ac:dyDescent="0.25">
      <c r="A145" s="28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x14ac:dyDescent="0.25">
      <c r="A146" s="28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x14ac:dyDescent="0.25">
      <c r="A147" s="28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x14ac:dyDescent="0.25">
      <c r="A148" s="28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x14ac:dyDescent="0.25">
      <c r="A149" s="28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x14ac:dyDescent="0.25">
      <c r="A150" s="28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x14ac:dyDescent="0.25">
      <c r="A151" s="28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x14ac:dyDescent="0.25">
      <c r="A152" s="28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x14ac:dyDescent="0.25">
      <c r="A153" s="28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x14ac:dyDescent="0.25">
      <c r="A154" s="28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x14ac:dyDescent="0.25">
      <c r="A155" s="28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x14ac:dyDescent="0.25">
      <c r="A156" s="28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x14ac:dyDescent="0.25">
      <c r="A157" s="28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x14ac:dyDescent="0.25">
      <c r="A158" s="28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x14ac:dyDescent="0.25">
      <c r="A159" s="28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x14ac:dyDescent="0.25">
      <c r="A160" s="28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x14ac:dyDescent="0.25">
      <c r="A161" s="28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x14ac:dyDescent="0.25">
      <c r="A162" s="28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x14ac:dyDescent="0.25">
      <c r="A163" s="28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x14ac:dyDescent="0.25">
      <c r="A164" s="28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x14ac:dyDescent="0.25">
      <c r="A165" s="28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x14ac:dyDescent="0.25">
      <c r="A166" s="28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x14ac:dyDescent="0.25">
      <c r="A167" s="28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x14ac:dyDescent="0.25">
      <c r="A168" s="28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x14ac:dyDescent="0.25">
      <c r="A169" s="28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x14ac:dyDescent="0.25">
      <c r="A170" s="28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x14ac:dyDescent="0.25">
      <c r="A171" s="28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x14ac:dyDescent="0.25">
      <c r="A172" s="28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25">
      <c r="A173" s="28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25">
      <c r="A174" s="28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25">
      <c r="A175" s="28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25">
      <c r="A176" s="28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25">
      <c r="A177" s="28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25">
      <c r="A178" s="28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25">
      <c r="A179" s="28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25">
      <c r="A180" s="28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25">
      <c r="A181" s="28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25">
      <c r="A182" s="28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25">
      <c r="A183" s="28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25">
      <c r="A184" s="28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25">
      <c r="A185" s="28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25">
      <c r="A186" s="28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25">
      <c r="A187" s="28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25">
      <c r="A188" s="28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25">
      <c r="A189" s="28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25">
      <c r="A190" s="28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25">
      <c r="A191" s="28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25">
      <c r="A192" s="28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25">
      <c r="A193" s="28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25">
      <c r="A194" s="28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25">
      <c r="A195" s="28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25">
      <c r="A196" s="28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25">
      <c r="A197" s="28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25">
      <c r="A198" s="28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25">
      <c r="A199" s="28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25">
      <c r="A200" s="28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25">
      <c r="A201" s="28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25">
      <c r="A202" s="28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25">
      <c r="A203" s="28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25">
      <c r="A204" s="28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25">
      <c r="A205" s="28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25">
      <c r="A206" s="28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25">
      <c r="A207" s="28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25">
      <c r="A208" s="28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25">
      <c r="A209" s="28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25">
      <c r="A210" s="28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25">
      <c r="A211" s="28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2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2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2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2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2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2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2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5.75" customHeight="1" x14ac:dyDescent="0.2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5.75" customHeight="1" x14ac:dyDescent="0.2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5.75" customHeight="1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5.75" customHeight="1" x14ac:dyDescent="0.2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5.75" customHeight="1" x14ac:dyDescent="0.2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5.75" customHeight="1" x14ac:dyDescent="0.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5.75" customHeight="1" x14ac:dyDescent="0.2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5.75" customHeight="1" x14ac:dyDescent="0.2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5.75" customHeight="1" x14ac:dyDescent="0.2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5.75" customHeight="1" x14ac:dyDescent="0.2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5.75" customHeight="1" x14ac:dyDescent="0.2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5.75" customHeight="1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5.75" customHeight="1" x14ac:dyDescent="0.2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5.75" customHeight="1" x14ac:dyDescent="0.2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5.75" customHeight="1" x14ac:dyDescent="0.2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5.75" customHeight="1" x14ac:dyDescent="0.2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5.75" customHeight="1" x14ac:dyDescent="0.2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5.75" customHeight="1" x14ac:dyDescent="0.2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5.75" customHeight="1" x14ac:dyDescent="0.2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5.75" customHeight="1" x14ac:dyDescent="0.2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5.75" customHeight="1" x14ac:dyDescent="0.2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5.75" customHeight="1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5.75" customHeight="1" x14ac:dyDescent="0.2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5.75" customHeight="1" x14ac:dyDescent="0.2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5.75" customHeight="1" x14ac:dyDescent="0.2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5.75" customHeight="1" x14ac:dyDescent="0.2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5.75" customHeight="1" x14ac:dyDescent="0.2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5.75" customHeight="1" x14ac:dyDescent="0.2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5.75" customHeight="1" x14ac:dyDescent="0.2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5.75" customHeight="1" x14ac:dyDescent="0.2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5.75" customHeight="1" x14ac:dyDescent="0.2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5.75" customHeight="1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5.75" customHeight="1" x14ac:dyDescent="0.2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5.75" customHeight="1" x14ac:dyDescent="0.2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5.75" customHeight="1" x14ac:dyDescent="0.2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5.75" customHeight="1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5.75" customHeight="1" x14ac:dyDescent="0.2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5.75" customHeight="1" x14ac:dyDescent="0.2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5.75" customHeight="1" x14ac:dyDescent="0.2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5.75" customHeight="1" x14ac:dyDescent="0.2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5.75" customHeight="1" x14ac:dyDescent="0.2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5.75" customHeight="1" x14ac:dyDescent="0.2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5.75" customHeight="1" x14ac:dyDescent="0.2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5.75" customHeight="1" x14ac:dyDescent="0.2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5.75" customHeight="1" x14ac:dyDescent="0.2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5.75" customHeight="1" x14ac:dyDescent="0.2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5.75" customHeight="1" x14ac:dyDescent="0.2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5.75" customHeight="1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5.75" customHeight="1" x14ac:dyDescent="0.2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5.75" customHeight="1" x14ac:dyDescent="0.2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5.75" customHeight="1" x14ac:dyDescent="0.2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5.75" customHeight="1" x14ac:dyDescent="0.2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5.75" customHeight="1" x14ac:dyDescent="0.2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5.75" customHeight="1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5.75" customHeight="1" x14ac:dyDescent="0.2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5.75" customHeight="1" x14ac:dyDescent="0.2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5.75" customHeight="1" x14ac:dyDescent="0.2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5.75" customHeight="1" x14ac:dyDescent="0.2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5.75" customHeight="1" x14ac:dyDescent="0.2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5.75" customHeight="1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5.75" customHeight="1" x14ac:dyDescent="0.2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5.75" customHeight="1" x14ac:dyDescent="0.2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5.75" customHeight="1" x14ac:dyDescent="0.2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5.75" customHeight="1" x14ac:dyDescent="0.2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5.75" customHeight="1" x14ac:dyDescent="0.2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5.75" customHeight="1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5.75" customHeight="1" x14ac:dyDescent="0.2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5.75" customHeight="1" x14ac:dyDescent="0.2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5.75" customHeight="1" x14ac:dyDescent="0.2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5.75" customHeight="1" x14ac:dyDescent="0.2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5.75" customHeight="1" x14ac:dyDescent="0.2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5.75" customHeight="1" x14ac:dyDescent="0.2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5.75" customHeight="1" x14ac:dyDescent="0.2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5.75" customHeight="1" x14ac:dyDescent="0.2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5.75" customHeight="1" x14ac:dyDescent="0.2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5.75" customHeight="1" x14ac:dyDescent="0.2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5.75" customHeight="1" x14ac:dyDescent="0.2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5.75" customHeight="1" x14ac:dyDescent="0.2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5.75" customHeight="1" x14ac:dyDescent="0.2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5.75" customHeight="1" x14ac:dyDescent="0.2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5.75" customHeight="1" x14ac:dyDescent="0.2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5.75" customHeight="1" x14ac:dyDescent="0.2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5.75" customHeight="1" x14ac:dyDescent="0.2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5.75" customHeight="1" x14ac:dyDescent="0.2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5.75" customHeight="1" x14ac:dyDescent="0.2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5.75" customHeight="1" x14ac:dyDescent="0.2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5.75" customHeight="1" x14ac:dyDescent="0.2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5.75" customHeight="1" x14ac:dyDescent="0.2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5.75" customHeight="1" x14ac:dyDescent="0.2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5.75" customHeight="1" x14ac:dyDescent="0.2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5.75" customHeight="1" x14ac:dyDescent="0.2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5.75" customHeight="1" x14ac:dyDescent="0.2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5.75" customHeight="1" x14ac:dyDescent="0.2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5.75" customHeight="1" x14ac:dyDescent="0.2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5.75" customHeight="1" x14ac:dyDescent="0.2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5.75" customHeight="1" x14ac:dyDescent="0.2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5.75" customHeight="1" x14ac:dyDescent="0.2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5.75" customHeight="1" x14ac:dyDescent="0.2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5.75" customHeight="1" x14ac:dyDescent="0.2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5.75" customHeight="1" x14ac:dyDescent="0.2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5.75" customHeight="1" x14ac:dyDescent="0.2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5.75" customHeight="1" x14ac:dyDescent="0.2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5.75" customHeight="1" x14ac:dyDescent="0.2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5.75" customHeight="1" x14ac:dyDescent="0.2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5.75" customHeight="1" x14ac:dyDescent="0.2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5.75" customHeight="1" x14ac:dyDescent="0.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5.75" customHeight="1" x14ac:dyDescent="0.2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5.75" customHeight="1" x14ac:dyDescent="0.2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5.75" customHeight="1" x14ac:dyDescent="0.2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5.75" customHeight="1" x14ac:dyDescent="0.2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5.75" customHeight="1" x14ac:dyDescent="0.2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5.75" customHeight="1" x14ac:dyDescent="0.2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5.75" customHeight="1" x14ac:dyDescent="0.2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5.75" customHeight="1" x14ac:dyDescent="0.2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5.75" customHeight="1" x14ac:dyDescent="0.2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5.75" customHeight="1" x14ac:dyDescent="0.2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5.75" customHeight="1" x14ac:dyDescent="0.2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5.75" customHeight="1" x14ac:dyDescent="0.2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5.75" customHeight="1" x14ac:dyDescent="0.2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5.75" customHeight="1" x14ac:dyDescent="0.2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5.75" customHeight="1" x14ac:dyDescent="0.2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5.75" customHeight="1" x14ac:dyDescent="0.2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5.75" customHeight="1" x14ac:dyDescent="0.2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5.75" customHeight="1" x14ac:dyDescent="0.2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5.75" customHeight="1" x14ac:dyDescent="0.2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5.75" customHeight="1" x14ac:dyDescent="0.2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5.75" customHeight="1" x14ac:dyDescent="0.2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5.75" customHeight="1" x14ac:dyDescent="0.2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5.75" customHeight="1" x14ac:dyDescent="0.2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5.75" customHeight="1" x14ac:dyDescent="0.2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5.75" customHeight="1" x14ac:dyDescent="0.2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5.75" customHeight="1" x14ac:dyDescent="0.2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5.75" customHeight="1" x14ac:dyDescent="0.2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5.75" customHeight="1" x14ac:dyDescent="0.2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5.75" customHeight="1" x14ac:dyDescent="0.2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5.75" customHeight="1" x14ac:dyDescent="0.2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5.75" customHeight="1" x14ac:dyDescent="0.2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5.75" customHeight="1" x14ac:dyDescent="0.2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5.75" customHeight="1" x14ac:dyDescent="0.2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5.75" customHeight="1" x14ac:dyDescent="0.2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5.75" customHeight="1" x14ac:dyDescent="0.2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5.75" customHeight="1" x14ac:dyDescent="0.2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5.75" customHeight="1" x14ac:dyDescent="0.2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5.75" customHeight="1" x14ac:dyDescent="0.2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5.75" customHeight="1" x14ac:dyDescent="0.2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5.75" customHeight="1" x14ac:dyDescent="0.2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5.75" customHeight="1" x14ac:dyDescent="0.2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5.75" customHeight="1" x14ac:dyDescent="0.2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5.75" customHeight="1" x14ac:dyDescent="0.2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5.75" customHeight="1" x14ac:dyDescent="0.2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5.75" customHeight="1" x14ac:dyDescent="0.2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5.75" customHeight="1" x14ac:dyDescent="0.2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5.75" customHeight="1" x14ac:dyDescent="0.2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5.75" customHeight="1" x14ac:dyDescent="0.2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5.75" customHeight="1" x14ac:dyDescent="0.2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5.75" customHeight="1" x14ac:dyDescent="0.2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5.75" customHeight="1" x14ac:dyDescent="0.2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5.75" customHeight="1" x14ac:dyDescent="0.2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5.75" customHeight="1" x14ac:dyDescent="0.2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5.75" customHeight="1" x14ac:dyDescent="0.2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5.75" customHeight="1" x14ac:dyDescent="0.2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5.75" customHeight="1" x14ac:dyDescent="0.2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5.75" customHeight="1" x14ac:dyDescent="0.2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5.75" customHeight="1" x14ac:dyDescent="0.2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5.75" customHeight="1" x14ac:dyDescent="0.2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5.75" customHeight="1" x14ac:dyDescent="0.2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5.75" customHeight="1" x14ac:dyDescent="0.2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5.75" customHeight="1" x14ac:dyDescent="0.2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5.75" customHeight="1" x14ac:dyDescent="0.2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5.75" customHeight="1" x14ac:dyDescent="0.2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5.75" customHeight="1" x14ac:dyDescent="0.2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5.75" customHeight="1" x14ac:dyDescent="0.2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5.75" customHeight="1" x14ac:dyDescent="0.2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5.75" customHeight="1" x14ac:dyDescent="0.2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5.75" customHeight="1" x14ac:dyDescent="0.2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5.75" customHeight="1" x14ac:dyDescent="0.2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5.75" customHeight="1" x14ac:dyDescent="0.2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5.75" customHeight="1" x14ac:dyDescent="0.2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5.75" customHeight="1" x14ac:dyDescent="0.2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5.75" customHeight="1" x14ac:dyDescent="0.2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5.75" customHeight="1" x14ac:dyDescent="0.2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5.75" customHeight="1" x14ac:dyDescent="0.2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5.75" customHeight="1" x14ac:dyDescent="0.2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5.75" customHeight="1" x14ac:dyDescent="0.2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5.75" customHeight="1" x14ac:dyDescent="0.2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5.75" customHeight="1" x14ac:dyDescent="0.2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5.75" customHeight="1" x14ac:dyDescent="0.2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5.75" customHeight="1" x14ac:dyDescent="0.2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5.75" customHeight="1" x14ac:dyDescent="0.2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5.75" customHeight="1" x14ac:dyDescent="0.2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5.75" customHeight="1" x14ac:dyDescent="0.2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5.75" customHeight="1" x14ac:dyDescent="0.2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5.75" customHeight="1" x14ac:dyDescent="0.2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5.75" customHeight="1" x14ac:dyDescent="0.2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5.75" customHeight="1" x14ac:dyDescent="0.2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5.75" customHeight="1" x14ac:dyDescent="0.2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5.75" customHeight="1" x14ac:dyDescent="0.2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5.75" customHeight="1" x14ac:dyDescent="0.2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5.75" customHeight="1" x14ac:dyDescent="0.2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5.75" customHeight="1" x14ac:dyDescent="0.2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5.75" customHeight="1" x14ac:dyDescent="0.2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5.75" customHeight="1" x14ac:dyDescent="0.2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5.75" customHeight="1" x14ac:dyDescent="0.2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5.75" customHeight="1" x14ac:dyDescent="0.2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5.75" customHeight="1" x14ac:dyDescent="0.2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5.75" customHeight="1" x14ac:dyDescent="0.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5.75" customHeight="1" x14ac:dyDescent="0.2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5.75" customHeight="1" x14ac:dyDescent="0.2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5.75" customHeight="1" x14ac:dyDescent="0.2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5.75" customHeight="1" x14ac:dyDescent="0.2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5.75" customHeight="1" x14ac:dyDescent="0.2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5.75" customHeight="1" x14ac:dyDescent="0.2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5.75" customHeight="1" x14ac:dyDescent="0.2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5.75" customHeight="1" x14ac:dyDescent="0.2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5.75" customHeight="1" x14ac:dyDescent="0.2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5.75" customHeight="1" x14ac:dyDescent="0.2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5.75" customHeight="1" x14ac:dyDescent="0.2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5.75" customHeight="1" x14ac:dyDescent="0.2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5.75" customHeight="1" x14ac:dyDescent="0.2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5.75" customHeight="1" x14ac:dyDescent="0.2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5.75" customHeight="1" x14ac:dyDescent="0.2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5.75" customHeight="1" x14ac:dyDescent="0.2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5.75" customHeight="1" x14ac:dyDescent="0.2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5.75" customHeight="1" x14ac:dyDescent="0.2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5.75" customHeight="1" x14ac:dyDescent="0.2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5.75" customHeight="1" x14ac:dyDescent="0.2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5.75" customHeight="1" x14ac:dyDescent="0.2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5.75" customHeight="1" x14ac:dyDescent="0.2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5.75" customHeight="1" x14ac:dyDescent="0.2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5.75" customHeight="1" x14ac:dyDescent="0.2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5.75" customHeight="1" x14ac:dyDescent="0.2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5.75" customHeight="1" x14ac:dyDescent="0.2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5.75" customHeight="1" x14ac:dyDescent="0.2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5.75" customHeight="1" x14ac:dyDescent="0.2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5.75" customHeight="1" x14ac:dyDescent="0.2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5.75" customHeight="1" x14ac:dyDescent="0.2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5.75" customHeight="1" x14ac:dyDescent="0.2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5.75" customHeight="1" x14ac:dyDescent="0.2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5.75" customHeight="1" x14ac:dyDescent="0.2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5.75" customHeight="1" x14ac:dyDescent="0.2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5.75" customHeight="1" x14ac:dyDescent="0.2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5.75" customHeight="1" x14ac:dyDescent="0.2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5.75" customHeight="1" x14ac:dyDescent="0.2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5.75" customHeight="1" x14ac:dyDescent="0.2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5.75" customHeight="1" x14ac:dyDescent="0.2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5.75" customHeight="1" x14ac:dyDescent="0.2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5.75" customHeight="1" x14ac:dyDescent="0.2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5.75" customHeight="1" x14ac:dyDescent="0.2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5.75" customHeight="1" x14ac:dyDescent="0.2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5.75" customHeight="1" x14ac:dyDescent="0.2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5.75" customHeight="1" x14ac:dyDescent="0.2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5.75" customHeight="1" x14ac:dyDescent="0.2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5.75" customHeight="1" x14ac:dyDescent="0.2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5.75" customHeight="1" x14ac:dyDescent="0.2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5.75" customHeight="1" x14ac:dyDescent="0.2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5.75" customHeight="1" x14ac:dyDescent="0.2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5.75" customHeight="1" x14ac:dyDescent="0.2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5.75" customHeight="1" x14ac:dyDescent="0.2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5.75" customHeight="1" x14ac:dyDescent="0.2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5.75" customHeight="1" x14ac:dyDescent="0.2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5.75" customHeight="1" x14ac:dyDescent="0.2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5.75" customHeight="1" x14ac:dyDescent="0.2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5.75" customHeight="1" x14ac:dyDescent="0.2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5.75" customHeight="1" x14ac:dyDescent="0.2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5.75" customHeight="1" x14ac:dyDescent="0.2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5.75" customHeight="1" x14ac:dyDescent="0.2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5.75" customHeight="1" x14ac:dyDescent="0.2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5.75" customHeight="1" x14ac:dyDescent="0.2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5.75" customHeight="1" x14ac:dyDescent="0.2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5.75" customHeight="1" x14ac:dyDescent="0.2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5.75" customHeight="1" x14ac:dyDescent="0.2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5.75" customHeight="1" x14ac:dyDescent="0.2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5.75" customHeight="1" x14ac:dyDescent="0.2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5.75" customHeight="1" x14ac:dyDescent="0.2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5.75" customHeight="1" x14ac:dyDescent="0.2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5.75" customHeight="1" x14ac:dyDescent="0.2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5.75" customHeight="1" x14ac:dyDescent="0.2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5.75" customHeight="1" x14ac:dyDescent="0.2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5.75" customHeight="1" x14ac:dyDescent="0.2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5.75" customHeight="1" x14ac:dyDescent="0.2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5.75" customHeight="1" x14ac:dyDescent="0.2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5.75" customHeight="1" x14ac:dyDescent="0.2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5.75" customHeight="1" x14ac:dyDescent="0.2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5.75" customHeight="1" x14ac:dyDescent="0.2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5.75" customHeight="1" x14ac:dyDescent="0.2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5.75" customHeight="1" x14ac:dyDescent="0.2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5.75" customHeight="1" x14ac:dyDescent="0.2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5.75" customHeight="1" x14ac:dyDescent="0.2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5.75" customHeight="1" x14ac:dyDescent="0.2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5.75" customHeight="1" x14ac:dyDescent="0.2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5.75" customHeight="1" x14ac:dyDescent="0.2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5.75" customHeight="1" x14ac:dyDescent="0.2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5.75" customHeight="1" x14ac:dyDescent="0.2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5.75" customHeight="1" x14ac:dyDescent="0.2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5.75" customHeight="1" x14ac:dyDescent="0.2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5.75" customHeight="1" x14ac:dyDescent="0.2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5.75" customHeight="1" x14ac:dyDescent="0.2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5.75" customHeight="1" x14ac:dyDescent="0.2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5.75" customHeight="1" x14ac:dyDescent="0.2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5.75" customHeight="1" x14ac:dyDescent="0.2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5.75" customHeight="1" x14ac:dyDescent="0.2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5.75" customHeight="1" x14ac:dyDescent="0.2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5.75" customHeight="1" x14ac:dyDescent="0.2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5.75" customHeight="1" x14ac:dyDescent="0.2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5.75" customHeight="1" x14ac:dyDescent="0.2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5.75" customHeight="1" x14ac:dyDescent="0.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5.75" customHeight="1" x14ac:dyDescent="0.2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5.75" customHeight="1" x14ac:dyDescent="0.2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5.75" customHeight="1" x14ac:dyDescent="0.2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5.75" customHeight="1" x14ac:dyDescent="0.2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5.75" customHeight="1" x14ac:dyDescent="0.2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5.75" customHeight="1" x14ac:dyDescent="0.2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5.75" customHeight="1" x14ac:dyDescent="0.2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5.75" customHeight="1" x14ac:dyDescent="0.2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5.75" customHeight="1" x14ac:dyDescent="0.2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5.75" customHeight="1" x14ac:dyDescent="0.2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5.75" customHeight="1" x14ac:dyDescent="0.2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5.75" customHeight="1" x14ac:dyDescent="0.2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5.75" customHeight="1" x14ac:dyDescent="0.2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5.75" customHeight="1" x14ac:dyDescent="0.2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5.75" customHeight="1" x14ac:dyDescent="0.2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5.75" customHeight="1" x14ac:dyDescent="0.2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5.75" customHeight="1" x14ac:dyDescent="0.2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5.75" customHeight="1" x14ac:dyDescent="0.2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5.75" customHeight="1" x14ac:dyDescent="0.2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5.75" customHeight="1" x14ac:dyDescent="0.2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5.75" customHeight="1" x14ac:dyDescent="0.2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5.75" customHeight="1" x14ac:dyDescent="0.2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5.75" customHeight="1" x14ac:dyDescent="0.2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5.75" customHeight="1" x14ac:dyDescent="0.2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5.75" customHeight="1" x14ac:dyDescent="0.2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5.75" customHeight="1" x14ac:dyDescent="0.2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5.75" customHeight="1" x14ac:dyDescent="0.2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5.75" customHeight="1" x14ac:dyDescent="0.2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5.75" customHeight="1" x14ac:dyDescent="0.2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5.75" customHeight="1" x14ac:dyDescent="0.2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5.75" customHeight="1" x14ac:dyDescent="0.2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5.75" customHeight="1" x14ac:dyDescent="0.2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5.75" customHeight="1" x14ac:dyDescent="0.2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5.75" customHeight="1" x14ac:dyDescent="0.2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5.75" customHeight="1" x14ac:dyDescent="0.2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5.75" customHeight="1" x14ac:dyDescent="0.2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5.75" customHeight="1" x14ac:dyDescent="0.2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5.75" customHeight="1" x14ac:dyDescent="0.2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5.75" customHeight="1" x14ac:dyDescent="0.2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5.75" customHeight="1" x14ac:dyDescent="0.2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5.75" customHeight="1" x14ac:dyDescent="0.2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5.75" customHeight="1" x14ac:dyDescent="0.2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5.75" customHeight="1" x14ac:dyDescent="0.2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5.75" customHeight="1" x14ac:dyDescent="0.2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5.75" customHeight="1" x14ac:dyDescent="0.2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5.75" customHeight="1" x14ac:dyDescent="0.2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5.75" customHeight="1" x14ac:dyDescent="0.2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5.75" customHeight="1" x14ac:dyDescent="0.2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5.75" customHeight="1" x14ac:dyDescent="0.2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5.75" customHeight="1" x14ac:dyDescent="0.2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5.75" customHeight="1" x14ac:dyDescent="0.2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5.75" customHeight="1" x14ac:dyDescent="0.2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5.75" customHeight="1" x14ac:dyDescent="0.2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5.75" customHeight="1" x14ac:dyDescent="0.2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5.75" customHeight="1" x14ac:dyDescent="0.2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5.75" customHeight="1" x14ac:dyDescent="0.2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5.75" customHeight="1" x14ac:dyDescent="0.2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5.75" customHeight="1" x14ac:dyDescent="0.2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5.75" customHeight="1" x14ac:dyDescent="0.2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5.75" customHeight="1" x14ac:dyDescent="0.2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5.75" customHeight="1" x14ac:dyDescent="0.2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5.75" customHeight="1" x14ac:dyDescent="0.2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5.75" customHeight="1" x14ac:dyDescent="0.2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5.75" customHeight="1" x14ac:dyDescent="0.2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5.75" customHeight="1" x14ac:dyDescent="0.2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5.75" customHeight="1" x14ac:dyDescent="0.2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5.75" customHeight="1" x14ac:dyDescent="0.2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5.75" customHeight="1" x14ac:dyDescent="0.2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5.75" customHeight="1" x14ac:dyDescent="0.2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5.75" customHeight="1" x14ac:dyDescent="0.2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5.75" customHeight="1" x14ac:dyDescent="0.2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5.75" customHeight="1" x14ac:dyDescent="0.2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5.75" customHeight="1" x14ac:dyDescent="0.2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5.75" customHeight="1" x14ac:dyDescent="0.2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5.75" customHeight="1" x14ac:dyDescent="0.2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5.75" customHeight="1" x14ac:dyDescent="0.2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5.75" customHeight="1" x14ac:dyDescent="0.2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5.75" customHeight="1" x14ac:dyDescent="0.2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5.75" customHeight="1" x14ac:dyDescent="0.2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5.75" customHeight="1" x14ac:dyDescent="0.2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5.75" customHeight="1" x14ac:dyDescent="0.2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5.75" customHeight="1" x14ac:dyDescent="0.2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5.75" customHeight="1" x14ac:dyDescent="0.2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5.75" customHeight="1" x14ac:dyDescent="0.2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5.75" customHeight="1" x14ac:dyDescent="0.2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5.75" customHeight="1" x14ac:dyDescent="0.2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5.75" customHeight="1" x14ac:dyDescent="0.2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5.75" customHeight="1" x14ac:dyDescent="0.2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5.75" customHeight="1" x14ac:dyDescent="0.2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5.75" customHeight="1" x14ac:dyDescent="0.2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5.75" customHeight="1" x14ac:dyDescent="0.2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5.75" customHeight="1" x14ac:dyDescent="0.2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5.75" customHeight="1" x14ac:dyDescent="0.2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5.75" customHeight="1" x14ac:dyDescent="0.2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5.75" customHeight="1" x14ac:dyDescent="0.2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5.75" customHeight="1" x14ac:dyDescent="0.2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5.75" customHeight="1" x14ac:dyDescent="0.2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5.75" customHeight="1" x14ac:dyDescent="0.2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5.75" customHeight="1" x14ac:dyDescent="0.2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5.75" customHeight="1" x14ac:dyDescent="0.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5.75" customHeight="1" x14ac:dyDescent="0.2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5.75" customHeight="1" x14ac:dyDescent="0.2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5.75" customHeight="1" x14ac:dyDescent="0.2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5.75" customHeight="1" x14ac:dyDescent="0.2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5.75" customHeight="1" x14ac:dyDescent="0.2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5.75" customHeight="1" x14ac:dyDescent="0.2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5.75" customHeight="1" x14ac:dyDescent="0.2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5.75" customHeight="1" x14ac:dyDescent="0.2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5.75" customHeight="1" x14ac:dyDescent="0.2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5.75" customHeight="1" x14ac:dyDescent="0.2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5.75" customHeight="1" x14ac:dyDescent="0.2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5.75" customHeight="1" x14ac:dyDescent="0.2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5.75" customHeight="1" x14ac:dyDescent="0.2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5.75" customHeight="1" x14ac:dyDescent="0.2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5.75" customHeight="1" x14ac:dyDescent="0.2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5.75" customHeight="1" x14ac:dyDescent="0.2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5.75" customHeight="1" x14ac:dyDescent="0.2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5.75" customHeight="1" x14ac:dyDescent="0.2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5.75" customHeight="1" x14ac:dyDescent="0.2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5.75" customHeight="1" x14ac:dyDescent="0.2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5.75" customHeight="1" x14ac:dyDescent="0.2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5.75" customHeight="1" x14ac:dyDescent="0.2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5.75" customHeight="1" x14ac:dyDescent="0.2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5.75" customHeight="1" x14ac:dyDescent="0.2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5.75" customHeight="1" x14ac:dyDescent="0.2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5.75" customHeight="1" x14ac:dyDescent="0.2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5.75" customHeight="1" x14ac:dyDescent="0.2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5.75" customHeight="1" x14ac:dyDescent="0.2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5.75" customHeight="1" x14ac:dyDescent="0.2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5.75" customHeight="1" x14ac:dyDescent="0.2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5.75" customHeight="1" x14ac:dyDescent="0.2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5.75" customHeight="1" x14ac:dyDescent="0.2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5.75" customHeight="1" x14ac:dyDescent="0.2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5.75" customHeight="1" x14ac:dyDescent="0.2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5.75" customHeight="1" x14ac:dyDescent="0.2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5.75" customHeight="1" x14ac:dyDescent="0.2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5.75" customHeight="1" x14ac:dyDescent="0.2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5.75" customHeight="1" x14ac:dyDescent="0.2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5.75" customHeight="1" x14ac:dyDescent="0.2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5.75" customHeight="1" x14ac:dyDescent="0.2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5.75" customHeight="1" x14ac:dyDescent="0.2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5.75" customHeight="1" x14ac:dyDescent="0.2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5.75" customHeight="1" x14ac:dyDescent="0.2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5.75" customHeight="1" x14ac:dyDescent="0.2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5.75" customHeight="1" x14ac:dyDescent="0.2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5.75" customHeight="1" x14ac:dyDescent="0.2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5.75" customHeight="1" x14ac:dyDescent="0.2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5.75" customHeight="1" x14ac:dyDescent="0.2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5.75" customHeight="1" x14ac:dyDescent="0.2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5.75" customHeight="1" x14ac:dyDescent="0.2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5.75" customHeight="1" x14ac:dyDescent="0.2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5.75" customHeight="1" x14ac:dyDescent="0.2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5.75" customHeight="1" x14ac:dyDescent="0.2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5.75" customHeight="1" x14ac:dyDescent="0.2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5.75" customHeight="1" x14ac:dyDescent="0.2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5.75" customHeight="1" x14ac:dyDescent="0.2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5.75" customHeight="1" x14ac:dyDescent="0.2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5.75" customHeight="1" x14ac:dyDescent="0.2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5.75" customHeight="1" x14ac:dyDescent="0.2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5.75" customHeight="1" x14ac:dyDescent="0.2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5.75" customHeight="1" x14ac:dyDescent="0.2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5.75" customHeight="1" x14ac:dyDescent="0.2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5.75" customHeight="1" x14ac:dyDescent="0.2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5.75" customHeight="1" x14ac:dyDescent="0.2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5.75" customHeight="1" x14ac:dyDescent="0.25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5.75" customHeight="1" x14ac:dyDescent="0.25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5.75" customHeight="1" x14ac:dyDescent="0.25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5.75" customHeight="1" x14ac:dyDescent="0.25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5.75" customHeight="1" x14ac:dyDescent="0.25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5.75" customHeight="1" x14ac:dyDescent="0.2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5.75" customHeight="1" x14ac:dyDescent="0.25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5.75" customHeight="1" x14ac:dyDescent="0.25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5.75" customHeight="1" x14ac:dyDescent="0.25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5.75" customHeight="1" x14ac:dyDescent="0.25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5.75" customHeight="1" x14ac:dyDescent="0.25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5.75" customHeight="1" x14ac:dyDescent="0.25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5.75" customHeight="1" x14ac:dyDescent="0.25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5.75" customHeight="1" x14ac:dyDescent="0.25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5.75" customHeight="1" x14ac:dyDescent="0.25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5.75" customHeight="1" x14ac:dyDescent="0.2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5.75" customHeight="1" x14ac:dyDescent="0.25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5.75" customHeight="1" x14ac:dyDescent="0.25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5.75" customHeight="1" x14ac:dyDescent="0.25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5.75" customHeight="1" x14ac:dyDescent="0.25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5.75" customHeight="1" x14ac:dyDescent="0.25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5.75" customHeight="1" x14ac:dyDescent="0.25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5.75" customHeight="1" x14ac:dyDescent="0.25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5.75" customHeight="1" x14ac:dyDescent="0.25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5.75" customHeight="1" x14ac:dyDescent="0.25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5.75" customHeight="1" x14ac:dyDescent="0.2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5.75" customHeight="1" x14ac:dyDescent="0.2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5.75" customHeight="1" x14ac:dyDescent="0.25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5.75" customHeight="1" x14ac:dyDescent="0.25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5.75" customHeight="1" x14ac:dyDescent="0.25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5.75" customHeight="1" x14ac:dyDescent="0.25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5.75" customHeight="1" x14ac:dyDescent="0.25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5.75" customHeight="1" x14ac:dyDescent="0.2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5.75" customHeight="1" x14ac:dyDescent="0.2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5.75" customHeight="1" x14ac:dyDescent="0.2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5.75" customHeight="1" x14ac:dyDescent="0.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5.75" customHeight="1" x14ac:dyDescent="0.2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5.75" customHeight="1" x14ac:dyDescent="0.2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5.75" customHeight="1" x14ac:dyDescent="0.2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5.75" customHeight="1" x14ac:dyDescent="0.2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5.75" customHeight="1" x14ac:dyDescent="0.2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5.75" customHeight="1" x14ac:dyDescent="0.2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5.75" customHeight="1" x14ac:dyDescent="0.2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5.75" customHeight="1" x14ac:dyDescent="0.2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5.75" customHeight="1" x14ac:dyDescent="0.2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5.75" customHeight="1" x14ac:dyDescent="0.2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5.75" customHeight="1" x14ac:dyDescent="0.2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5.75" customHeight="1" x14ac:dyDescent="0.2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5.75" customHeight="1" x14ac:dyDescent="0.2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5.75" customHeight="1" x14ac:dyDescent="0.2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5.75" customHeight="1" x14ac:dyDescent="0.2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5.75" customHeight="1" x14ac:dyDescent="0.2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5.75" customHeight="1" x14ac:dyDescent="0.2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5.75" customHeight="1" x14ac:dyDescent="0.2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5.75" customHeight="1" x14ac:dyDescent="0.2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5.75" customHeight="1" x14ac:dyDescent="0.2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5.75" customHeight="1" x14ac:dyDescent="0.2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5.75" customHeight="1" x14ac:dyDescent="0.2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5.75" customHeight="1" x14ac:dyDescent="0.2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5.75" customHeight="1" x14ac:dyDescent="0.2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5.75" customHeight="1" x14ac:dyDescent="0.2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5.75" customHeight="1" x14ac:dyDescent="0.2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5.75" customHeight="1" x14ac:dyDescent="0.2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5.75" customHeight="1" x14ac:dyDescent="0.2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5.75" customHeight="1" x14ac:dyDescent="0.2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5.75" customHeight="1" x14ac:dyDescent="0.2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5.75" customHeight="1" x14ac:dyDescent="0.2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5.75" customHeight="1" x14ac:dyDescent="0.2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5.75" customHeight="1" x14ac:dyDescent="0.2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5.75" customHeight="1" x14ac:dyDescent="0.2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5.75" customHeight="1" x14ac:dyDescent="0.2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5.75" customHeight="1" x14ac:dyDescent="0.2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5.75" customHeight="1" x14ac:dyDescent="0.2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5.75" customHeight="1" x14ac:dyDescent="0.2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5.75" customHeight="1" x14ac:dyDescent="0.2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5.75" customHeight="1" x14ac:dyDescent="0.2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5.75" customHeight="1" x14ac:dyDescent="0.2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5.75" customHeight="1" x14ac:dyDescent="0.2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5.75" customHeight="1" x14ac:dyDescent="0.2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5.75" customHeight="1" x14ac:dyDescent="0.2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5.75" customHeight="1" x14ac:dyDescent="0.2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5.75" customHeight="1" x14ac:dyDescent="0.2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5.75" customHeight="1" x14ac:dyDescent="0.2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5.75" customHeight="1" x14ac:dyDescent="0.2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5.75" customHeight="1" x14ac:dyDescent="0.2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5.75" customHeight="1" x14ac:dyDescent="0.2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5.75" customHeight="1" x14ac:dyDescent="0.2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5.75" customHeight="1" x14ac:dyDescent="0.2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5.75" customHeight="1" x14ac:dyDescent="0.2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5.75" customHeight="1" x14ac:dyDescent="0.2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5.75" customHeight="1" x14ac:dyDescent="0.2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5.75" customHeight="1" x14ac:dyDescent="0.2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5.75" customHeight="1" x14ac:dyDescent="0.2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5.75" customHeight="1" x14ac:dyDescent="0.2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5.75" customHeight="1" x14ac:dyDescent="0.2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5.75" customHeight="1" x14ac:dyDescent="0.2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5.75" customHeight="1" x14ac:dyDescent="0.2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5.75" customHeight="1" x14ac:dyDescent="0.2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5.75" customHeight="1" x14ac:dyDescent="0.2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5.75" customHeight="1" x14ac:dyDescent="0.2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5.75" customHeight="1" x14ac:dyDescent="0.2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5.75" customHeight="1" x14ac:dyDescent="0.2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5.75" customHeight="1" x14ac:dyDescent="0.2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5.75" customHeight="1" x14ac:dyDescent="0.2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5.75" customHeight="1" x14ac:dyDescent="0.2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5.75" customHeight="1" x14ac:dyDescent="0.2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5.75" customHeight="1" x14ac:dyDescent="0.2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5.75" customHeight="1" x14ac:dyDescent="0.2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5.75" customHeight="1" x14ac:dyDescent="0.2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5.75" customHeight="1" x14ac:dyDescent="0.2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5.75" customHeight="1" x14ac:dyDescent="0.2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5.75" customHeight="1" x14ac:dyDescent="0.2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5.75" customHeight="1" x14ac:dyDescent="0.2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5.75" customHeight="1" x14ac:dyDescent="0.2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5.75" customHeight="1" x14ac:dyDescent="0.2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5.75" customHeight="1" x14ac:dyDescent="0.2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5.75" customHeight="1" x14ac:dyDescent="0.2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5.75" customHeight="1" x14ac:dyDescent="0.2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5.75" customHeight="1" x14ac:dyDescent="0.2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5.75" customHeight="1" x14ac:dyDescent="0.2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5.75" customHeight="1" x14ac:dyDescent="0.2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5.75" customHeight="1" x14ac:dyDescent="0.2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5.75" customHeight="1" x14ac:dyDescent="0.2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5.75" customHeight="1" x14ac:dyDescent="0.2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5.75" customHeight="1" x14ac:dyDescent="0.2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5.75" customHeight="1" x14ac:dyDescent="0.2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5.75" customHeight="1" x14ac:dyDescent="0.2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5.75" customHeight="1" x14ac:dyDescent="0.2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5.75" customHeight="1" x14ac:dyDescent="0.2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5.75" customHeight="1" x14ac:dyDescent="0.2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5.75" customHeight="1" x14ac:dyDescent="0.2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5.75" customHeight="1" x14ac:dyDescent="0.2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5.75" customHeight="1" x14ac:dyDescent="0.2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5.75" customHeight="1" x14ac:dyDescent="0.2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5.75" customHeight="1" x14ac:dyDescent="0.2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5.75" customHeight="1" x14ac:dyDescent="0.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5.75" customHeight="1" x14ac:dyDescent="0.2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5.75" customHeight="1" x14ac:dyDescent="0.2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5.75" customHeight="1" x14ac:dyDescent="0.2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5.75" customHeight="1" x14ac:dyDescent="0.2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5.75" customHeight="1" x14ac:dyDescent="0.2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5.75" customHeight="1" x14ac:dyDescent="0.2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5.75" customHeight="1" x14ac:dyDescent="0.2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5.75" customHeight="1" x14ac:dyDescent="0.2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5.75" customHeight="1" x14ac:dyDescent="0.2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5.75" customHeight="1" x14ac:dyDescent="0.2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5.75" customHeight="1" x14ac:dyDescent="0.2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5.75" customHeight="1" x14ac:dyDescent="0.2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5.75" customHeight="1" x14ac:dyDescent="0.2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5.75" customHeight="1" x14ac:dyDescent="0.2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5.75" customHeight="1" x14ac:dyDescent="0.2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5.75" customHeight="1" x14ac:dyDescent="0.2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5.75" customHeight="1" x14ac:dyDescent="0.2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5.75" customHeight="1" x14ac:dyDescent="0.2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5.75" customHeight="1" x14ac:dyDescent="0.2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5.75" customHeight="1" x14ac:dyDescent="0.2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5.75" customHeight="1" x14ac:dyDescent="0.2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5.75" customHeight="1" x14ac:dyDescent="0.2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5.75" customHeight="1" x14ac:dyDescent="0.2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5.75" customHeight="1" x14ac:dyDescent="0.2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5.75" customHeight="1" x14ac:dyDescent="0.2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5.75" customHeight="1" x14ac:dyDescent="0.2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5.75" customHeight="1" x14ac:dyDescent="0.2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5.75" customHeight="1" x14ac:dyDescent="0.2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5.75" customHeight="1" x14ac:dyDescent="0.2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5.75" customHeight="1" x14ac:dyDescent="0.2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5.75" customHeight="1" x14ac:dyDescent="0.2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5.75" customHeight="1" x14ac:dyDescent="0.2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5.75" customHeight="1" x14ac:dyDescent="0.2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5.75" customHeight="1" x14ac:dyDescent="0.2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5.75" customHeight="1" x14ac:dyDescent="0.2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5.75" customHeight="1" x14ac:dyDescent="0.2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5.75" customHeight="1" x14ac:dyDescent="0.2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5.75" customHeight="1" x14ac:dyDescent="0.2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5.75" customHeight="1" x14ac:dyDescent="0.2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5.75" customHeight="1" x14ac:dyDescent="0.2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5.75" customHeight="1" x14ac:dyDescent="0.2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5.75" customHeight="1" x14ac:dyDescent="0.2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5.75" customHeight="1" x14ac:dyDescent="0.2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5.75" customHeight="1" x14ac:dyDescent="0.2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5.75" customHeight="1" x14ac:dyDescent="0.2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5.75" customHeight="1" x14ac:dyDescent="0.2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5.75" customHeight="1" x14ac:dyDescent="0.2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5.75" customHeight="1" x14ac:dyDescent="0.2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5.75" customHeight="1" x14ac:dyDescent="0.2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5.75" customHeight="1" x14ac:dyDescent="0.2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5.75" customHeight="1" x14ac:dyDescent="0.2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5.75" customHeight="1" x14ac:dyDescent="0.2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5.75" customHeight="1" x14ac:dyDescent="0.2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5.75" customHeight="1" x14ac:dyDescent="0.2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5.75" customHeight="1" x14ac:dyDescent="0.2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5.75" customHeight="1" x14ac:dyDescent="0.2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5.75" customHeight="1" x14ac:dyDescent="0.2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5.75" customHeight="1" x14ac:dyDescent="0.2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5.75" customHeight="1" x14ac:dyDescent="0.2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5.75" customHeight="1" x14ac:dyDescent="0.2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5.75" customHeight="1" x14ac:dyDescent="0.2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5.75" customHeight="1" x14ac:dyDescent="0.2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5.75" customHeight="1" x14ac:dyDescent="0.2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5.75" customHeight="1" x14ac:dyDescent="0.2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5.75" customHeight="1" x14ac:dyDescent="0.2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5.75" customHeight="1" x14ac:dyDescent="0.2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5.75" customHeight="1" x14ac:dyDescent="0.2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5.75" customHeight="1" x14ac:dyDescent="0.2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5.75" customHeight="1" x14ac:dyDescent="0.2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5.75" customHeight="1" x14ac:dyDescent="0.2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5.75" customHeight="1" x14ac:dyDescent="0.2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5.75" customHeight="1" x14ac:dyDescent="0.2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5.75" customHeight="1" x14ac:dyDescent="0.2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5.75" customHeight="1" x14ac:dyDescent="0.2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5.75" customHeight="1" x14ac:dyDescent="0.2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5.75" customHeight="1" x14ac:dyDescent="0.2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5.75" customHeight="1" x14ac:dyDescent="0.2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5.75" customHeight="1" x14ac:dyDescent="0.2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5.75" customHeight="1" x14ac:dyDescent="0.2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5.75" customHeight="1" x14ac:dyDescent="0.2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5.75" customHeight="1" x14ac:dyDescent="0.2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5.75" customHeight="1" x14ac:dyDescent="0.2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5.75" customHeight="1" x14ac:dyDescent="0.2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5.75" customHeight="1" x14ac:dyDescent="0.2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5.75" customHeight="1" x14ac:dyDescent="0.2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5.75" customHeight="1" x14ac:dyDescent="0.2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5.75" customHeight="1" x14ac:dyDescent="0.2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5.75" customHeight="1" x14ac:dyDescent="0.2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5.75" customHeight="1" x14ac:dyDescent="0.2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5.75" customHeight="1" x14ac:dyDescent="0.2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5.75" customHeight="1" x14ac:dyDescent="0.2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5.75" customHeight="1" x14ac:dyDescent="0.2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5.75" customHeight="1" x14ac:dyDescent="0.2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5.75" customHeight="1" x14ac:dyDescent="0.2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5.75" customHeight="1" x14ac:dyDescent="0.2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5.75" customHeight="1" x14ac:dyDescent="0.2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5.75" customHeight="1" x14ac:dyDescent="0.2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5.75" customHeight="1" x14ac:dyDescent="0.2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5.75" customHeight="1" x14ac:dyDescent="0.2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5.75" customHeight="1" x14ac:dyDescent="0.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5.75" customHeight="1" x14ac:dyDescent="0.2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5.75" customHeight="1" x14ac:dyDescent="0.2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5.75" customHeight="1" x14ac:dyDescent="0.2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5.75" customHeight="1" x14ac:dyDescent="0.2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5.75" customHeight="1" x14ac:dyDescent="0.2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5.75" customHeight="1" x14ac:dyDescent="0.2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5.75" customHeight="1" x14ac:dyDescent="0.2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5.75" customHeight="1" x14ac:dyDescent="0.2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5.75" customHeight="1" x14ac:dyDescent="0.2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5.75" customHeight="1" x14ac:dyDescent="0.2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5.75" customHeight="1" x14ac:dyDescent="0.2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5.75" customHeight="1" x14ac:dyDescent="0.2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5.75" customHeight="1" x14ac:dyDescent="0.2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5.75" customHeight="1" x14ac:dyDescent="0.2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5.75" customHeight="1" x14ac:dyDescent="0.2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5.75" customHeight="1" x14ac:dyDescent="0.2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5.75" customHeight="1" x14ac:dyDescent="0.2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5.75" customHeight="1" x14ac:dyDescent="0.2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5.75" customHeight="1" x14ac:dyDescent="0.2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5.75" customHeight="1" x14ac:dyDescent="0.2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5.75" customHeight="1" x14ac:dyDescent="0.2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5.75" customHeight="1" x14ac:dyDescent="0.2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5.75" customHeight="1" x14ac:dyDescent="0.2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5.75" customHeight="1" x14ac:dyDescent="0.2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5.75" customHeight="1" x14ac:dyDescent="0.2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5.75" customHeight="1" x14ac:dyDescent="0.2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5.75" customHeight="1" x14ac:dyDescent="0.2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5.75" customHeight="1" x14ac:dyDescent="0.2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5.75" customHeight="1" x14ac:dyDescent="0.2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5.75" customHeight="1" x14ac:dyDescent="0.2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5.75" customHeight="1" x14ac:dyDescent="0.2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5.75" customHeight="1" x14ac:dyDescent="0.2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5.75" customHeight="1" x14ac:dyDescent="0.2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5.75" customHeight="1" x14ac:dyDescent="0.2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5.75" customHeight="1" x14ac:dyDescent="0.2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5.75" customHeight="1" x14ac:dyDescent="0.2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5.75" customHeight="1" x14ac:dyDescent="0.2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5.75" customHeight="1" x14ac:dyDescent="0.2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5.75" customHeight="1" x14ac:dyDescent="0.2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5.75" customHeight="1" x14ac:dyDescent="0.2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5.75" customHeight="1" x14ac:dyDescent="0.2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5.75" customHeight="1" x14ac:dyDescent="0.2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5.75" customHeight="1" x14ac:dyDescent="0.2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5.75" customHeight="1" x14ac:dyDescent="0.2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5.75" customHeight="1" x14ac:dyDescent="0.2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5.75" customHeight="1" x14ac:dyDescent="0.2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5.75" customHeight="1" x14ac:dyDescent="0.2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5.75" customHeight="1" x14ac:dyDescent="0.2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5.75" customHeight="1" x14ac:dyDescent="0.2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5.75" customHeight="1" x14ac:dyDescent="0.2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5.75" customHeight="1" x14ac:dyDescent="0.2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5.75" customHeight="1" x14ac:dyDescent="0.2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5.75" customHeight="1" x14ac:dyDescent="0.2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5.75" customHeight="1" x14ac:dyDescent="0.2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5.75" customHeight="1" x14ac:dyDescent="0.25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5.75" customHeight="1" x14ac:dyDescent="0.25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5.75" customHeight="1" x14ac:dyDescent="0.25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5.75" customHeight="1" x14ac:dyDescent="0.25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5.75" customHeight="1" x14ac:dyDescent="0.25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5.75" customHeight="1" x14ac:dyDescent="0.2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5.75" customHeight="1" x14ac:dyDescent="0.25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5.75" customHeight="1" x14ac:dyDescent="0.25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5.75" customHeight="1" x14ac:dyDescent="0.25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5.75" customHeight="1" x14ac:dyDescent="0.25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5.75" customHeight="1" x14ac:dyDescent="0.25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5.75" customHeight="1" x14ac:dyDescent="0.25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5.75" customHeight="1" x14ac:dyDescent="0.25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5.75" customHeight="1" x14ac:dyDescent="0.25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5.75" customHeight="1" x14ac:dyDescent="0.25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5.75" customHeight="1" x14ac:dyDescent="0.2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5.75" customHeight="1" x14ac:dyDescent="0.25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5.75" customHeight="1" x14ac:dyDescent="0.25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5.75" customHeight="1" x14ac:dyDescent="0.25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5.75" customHeight="1" x14ac:dyDescent="0.25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5.75" customHeight="1" x14ac:dyDescent="0.25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3">
    <mergeCell ref="A1:D1"/>
    <mergeCell ref="A3:D3"/>
    <mergeCell ref="A2:D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216"/>
  <sheetViews>
    <sheetView zoomScale="115" zoomScaleNormal="115" workbookViewId="0">
      <selection activeCell="B10" sqref="B10"/>
    </sheetView>
  </sheetViews>
  <sheetFormatPr defaultColWidth="12.6640625" defaultRowHeight="15" customHeight="1" x14ac:dyDescent="0.25"/>
  <cols>
    <col min="1" max="1" width="14.21875" style="57" customWidth="1"/>
    <col min="2" max="2" width="39" style="57" customWidth="1"/>
    <col min="3" max="3" width="37.33203125" style="57" customWidth="1"/>
    <col min="4" max="4" width="50.33203125" style="57" customWidth="1"/>
    <col min="5" max="5" width="48.6640625" style="57" customWidth="1"/>
    <col min="6" max="7" width="16" style="57" customWidth="1"/>
    <col min="11" max="11" width="16" style="57" customWidth="1"/>
    <col min="15" max="15" width="16" style="57" customWidth="1"/>
    <col min="17" max="17" width="16" style="57" customWidth="1"/>
  </cols>
  <sheetData>
    <row r="1" spans="1:18" ht="15.75" customHeight="1" x14ac:dyDescent="0.25">
      <c r="A1" s="41" t="s">
        <v>55</v>
      </c>
      <c r="B1" s="95" t="s">
        <v>56</v>
      </c>
      <c r="C1" s="96"/>
      <c r="D1" s="95" t="s">
        <v>926</v>
      </c>
      <c r="E1" s="93"/>
      <c r="F1" s="96"/>
      <c r="G1" s="104" t="s">
        <v>57</v>
      </c>
      <c r="H1" s="104" t="s">
        <v>58</v>
      </c>
      <c r="I1" s="47" t="s">
        <v>24</v>
      </c>
      <c r="J1" s="29">
        <f>COUNTIF(G10:G500,"Pass")+COUNTIF(O10:O500,"Pass")</f>
        <v>0</v>
      </c>
      <c r="K1" s="104" t="s">
        <v>59</v>
      </c>
      <c r="L1" s="47" t="s">
        <v>24</v>
      </c>
      <c r="M1" s="29">
        <f>COUNTIF(K10:K500,"Pass")+COUNTIF(Q10:Q500,"Pass")</f>
        <v>0</v>
      </c>
      <c r="N1" s="97" t="s">
        <v>60</v>
      </c>
      <c r="O1" s="109">
        <f>SUM(J1:J4)+SUM(M1:M4)</f>
        <v>382</v>
      </c>
      <c r="P1" s="97" t="s">
        <v>61</v>
      </c>
      <c r="Q1" s="109">
        <f>COUNTA(J10:J86)+COUNTA(N10:N86)</f>
        <v>0</v>
      </c>
      <c r="R1" s="42"/>
    </row>
    <row r="2" spans="1:18" ht="15.75" customHeight="1" x14ac:dyDescent="0.25">
      <c r="A2" s="41" t="s">
        <v>62</v>
      </c>
      <c r="B2" s="95" t="s">
        <v>63</v>
      </c>
      <c r="C2" s="96"/>
      <c r="D2" s="95"/>
      <c r="E2" s="93"/>
      <c r="F2" s="96"/>
      <c r="G2" s="98"/>
      <c r="H2" s="98"/>
      <c r="I2" s="47" t="s">
        <v>25</v>
      </c>
      <c r="J2" s="29">
        <f>COUNTIF(G10:G500,"Fail")-COUNTIF(O10:O500,"Pass")</f>
        <v>0</v>
      </c>
      <c r="K2" s="98"/>
      <c r="L2" s="47" t="s">
        <v>25</v>
      </c>
      <c r="M2" s="29">
        <f>COUNTIF(K10:K500,"Fail")-COUNTIF(Q10:Q500,"OK")</f>
        <v>0</v>
      </c>
      <c r="N2" s="98"/>
      <c r="O2" s="98"/>
      <c r="P2" s="98"/>
      <c r="Q2" s="98"/>
      <c r="R2" s="42"/>
    </row>
    <row r="3" spans="1:18" ht="15.75" customHeight="1" x14ac:dyDescent="0.25">
      <c r="A3" s="41" t="s">
        <v>33</v>
      </c>
      <c r="B3" s="95"/>
      <c r="C3" s="96"/>
      <c r="D3" s="95" t="s">
        <v>64</v>
      </c>
      <c r="E3" s="93"/>
      <c r="F3" s="96"/>
      <c r="G3" s="98"/>
      <c r="H3" s="98"/>
      <c r="I3" s="47" t="s">
        <v>28</v>
      </c>
      <c r="J3" s="29">
        <f>COUNTIF(G10:G500,"Untested")</f>
        <v>191</v>
      </c>
      <c r="K3" s="98"/>
      <c r="L3" s="47" t="s">
        <v>28</v>
      </c>
      <c r="M3" s="29">
        <f>COUNTIF(K10:K500,"Untested")</f>
        <v>191</v>
      </c>
      <c r="N3" s="98"/>
      <c r="O3" s="98"/>
      <c r="P3" s="98"/>
      <c r="Q3" s="98"/>
      <c r="R3" s="42"/>
    </row>
    <row r="4" spans="1:18" ht="15.75" customHeight="1" x14ac:dyDescent="0.25">
      <c r="A4" s="41" t="s">
        <v>65</v>
      </c>
      <c r="B4" s="95" t="s">
        <v>66</v>
      </c>
      <c r="C4" s="96"/>
      <c r="D4" s="106"/>
      <c r="E4" s="93"/>
      <c r="F4" s="96"/>
      <c r="G4" s="98"/>
      <c r="H4" s="98"/>
      <c r="I4" s="47" t="s">
        <v>27</v>
      </c>
      <c r="J4" s="29">
        <f>COUNTIF(G10:G500,"N/A")</f>
        <v>0</v>
      </c>
      <c r="K4" s="98"/>
      <c r="L4" s="47" t="s">
        <v>27</v>
      </c>
      <c r="M4" s="29">
        <f>COUNTIF(K10:K500,"N/A")</f>
        <v>0</v>
      </c>
      <c r="N4" s="98"/>
      <c r="O4" s="98"/>
      <c r="P4" s="98"/>
      <c r="Q4" s="98"/>
      <c r="R4" s="42"/>
    </row>
    <row r="5" spans="1:18" ht="15.75" customHeight="1" x14ac:dyDescent="0.25">
      <c r="A5" s="41" t="s">
        <v>67</v>
      </c>
      <c r="B5" s="95"/>
      <c r="C5" s="96"/>
      <c r="D5" s="106"/>
      <c r="E5" s="93"/>
      <c r="F5" s="96"/>
      <c r="G5" s="99"/>
      <c r="H5" s="99"/>
      <c r="I5" s="47" t="s">
        <v>26</v>
      </c>
      <c r="J5" s="29">
        <f>COUNTIF(G10:G500,"Pending")</f>
        <v>0</v>
      </c>
      <c r="K5" s="99"/>
      <c r="L5" s="47" t="s">
        <v>26</v>
      </c>
      <c r="M5" s="29">
        <f>COUNTIF(K10:K500,"Pending")</f>
        <v>0</v>
      </c>
      <c r="N5" s="99"/>
      <c r="O5" s="99"/>
      <c r="P5" s="99"/>
      <c r="Q5" s="99"/>
      <c r="R5" s="42"/>
    </row>
    <row r="6" spans="1:18" ht="15.75" customHeight="1" x14ac:dyDescent="0.25">
      <c r="A6" s="102" t="s">
        <v>68</v>
      </c>
      <c r="B6" s="107" t="s">
        <v>69</v>
      </c>
      <c r="C6" s="107" t="s">
        <v>70</v>
      </c>
      <c r="D6" s="107" t="s">
        <v>71</v>
      </c>
      <c r="E6" s="107" t="s">
        <v>72</v>
      </c>
      <c r="F6" s="102" t="s">
        <v>73</v>
      </c>
      <c r="G6" s="105" t="s">
        <v>74</v>
      </c>
      <c r="H6" s="93"/>
      <c r="I6" s="93"/>
      <c r="J6" s="96"/>
      <c r="K6" s="105" t="s">
        <v>75</v>
      </c>
      <c r="L6" s="93"/>
      <c r="M6" s="93"/>
      <c r="N6" s="96"/>
      <c r="O6" s="100" t="s">
        <v>76</v>
      </c>
      <c r="P6" s="96"/>
      <c r="Q6" s="100" t="s">
        <v>77</v>
      </c>
      <c r="R6" s="96"/>
    </row>
    <row r="7" spans="1:18" ht="15.75" customHeight="1" x14ac:dyDescent="0.25">
      <c r="A7" s="99"/>
      <c r="B7" s="99"/>
      <c r="C7" s="99"/>
      <c r="D7" s="99"/>
      <c r="E7" s="99"/>
      <c r="F7" s="99"/>
      <c r="G7" s="59" t="s">
        <v>78</v>
      </c>
      <c r="H7" s="59" t="s">
        <v>40</v>
      </c>
      <c r="I7" s="59" t="s">
        <v>79</v>
      </c>
      <c r="J7" s="59" t="s">
        <v>80</v>
      </c>
      <c r="K7" s="59" t="s">
        <v>78</v>
      </c>
      <c r="L7" s="59" t="s">
        <v>40</v>
      </c>
      <c r="M7" s="59" t="s">
        <v>79</v>
      </c>
      <c r="N7" s="59" t="s">
        <v>80</v>
      </c>
      <c r="O7" s="62" t="s">
        <v>78</v>
      </c>
      <c r="P7" s="62" t="s">
        <v>40</v>
      </c>
      <c r="Q7" s="62" t="s">
        <v>78</v>
      </c>
      <c r="R7" s="62" t="s">
        <v>40</v>
      </c>
    </row>
    <row r="8" spans="1:18" ht="14.4" customHeight="1" x14ac:dyDescent="0.25">
      <c r="A8" s="60"/>
      <c r="B8" s="108" t="s">
        <v>81</v>
      </c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6"/>
    </row>
    <row r="9" spans="1:18" ht="14.4" customHeight="1" x14ac:dyDescent="0.25">
      <c r="A9" s="58"/>
      <c r="B9" s="101" t="s">
        <v>82</v>
      </c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6"/>
    </row>
    <row r="10" spans="1:18" ht="127.8" customHeight="1" x14ac:dyDescent="0.25">
      <c r="A10" s="43" t="s">
        <v>83</v>
      </c>
      <c r="B10" s="43" t="s">
        <v>84</v>
      </c>
      <c r="C10" s="43" t="s">
        <v>85</v>
      </c>
      <c r="D10" s="43" t="s">
        <v>86</v>
      </c>
      <c r="E10" s="43" t="s">
        <v>87</v>
      </c>
      <c r="F10" s="43" t="s">
        <v>88</v>
      </c>
      <c r="G10" s="46" t="s">
        <v>28</v>
      </c>
      <c r="H10" s="44"/>
      <c r="I10" s="44"/>
      <c r="J10" s="44"/>
      <c r="K10" s="46" t="s">
        <v>28</v>
      </c>
      <c r="L10" s="44"/>
      <c r="M10" s="44"/>
      <c r="N10" s="44"/>
      <c r="O10" s="44"/>
      <c r="P10" s="44"/>
      <c r="Q10" s="44"/>
      <c r="R10" s="44"/>
    </row>
    <row r="11" spans="1:18" ht="43.2" customHeight="1" x14ac:dyDescent="0.25">
      <c r="A11" s="43" t="s">
        <v>89</v>
      </c>
      <c r="B11" s="43" t="s">
        <v>90</v>
      </c>
      <c r="C11" s="43" t="s">
        <v>91</v>
      </c>
      <c r="D11" s="43" t="s">
        <v>92</v>
      </c>
      <c r="E11" s="43" t="s">
        <v>93</v>
      </c>
      <c r="F11" s="43" t="s">
        <v>94</v>
      </c>
      <c r="G11" s="46" t="s">
        <v>28</v>
      </c>
      <c r="H11" s="44"/>
      <c r="I11" s="44"/>
      <c r="J11" s="44"/>
      <c r="K11" s="46" t="s">
        <v>28</v>
      </c>
      <c r="L11" s="44"/>
      <c r="M11" s="44"/>
      <c r="N11" s="44"/>
      <c r="O11" s="44"/>
      <c r="P11" s="44"/>
      <c r="Q11" s="44"/>
      <c r="R11" s="44"/>
    </row>
    <row r="12" spans="1:18" ht="28.8" customHeight="1" x14ac:dyDescent="0.25">
      <c r="A12" s="43" t="s">
        <v>95</v>
      </c>
      <c r="B12" s="43" t="s">
        <v>96</v>
      </c>
      <c r="C12" s="43" t="s">
        <v>97</v>
      </c>
      <c r="D12" s="43" t="s">
        <v>98</v>
      </c>
      <c r="E12" s="43" t="s">
        <v>99</v>
      </c>
      <c r="F12" s="43" t="s">
        <v>100</v>
      </c>
      <c r="G12" s="46" t="s">
        <v>28</v>
      </c>
      <c r="H12" s="44"/>
      <c r="I12" s="44"/>
      <c r="J12" s="44"/>
      <c r="K12" s="46" t="s">
        <v>28</v>
      </c>
      <c r="L12" s="44"/>
      <c r="M12" s="44"/>
      <c r="N12" s="44"/>
      <c r="O12" s="44"/>
      <c r="P12" s="44"/>
      <c r="Q12" s="44"/>
      <c r="R12" s="44"/>
    </row>
    <row r="13" spans="1:18" ht="43.2" customHeight="1" x14ac:dyDescent="0.25">
      <c r="A13" s="43" t="s">
        <v>101</v>
      </c>
      <c r="B13" s="43" t="s">
        <v>102</v>
      </c>
      <c r="C13" s="43" t="s">
        <v>103</v>
      </c>
      <c r="D13" s="43" t="s">
        <v>104</v>
      </c>
      <c r="E13" s="63" t="s">
        <v>105</v>
      </c>
      <c r="F13" s="43" t="s">
        <v>106</v>
      </c>
      <c r="G13" s="46" t="s">
        <v>28</v>
      </c>
      <c r="H13" s="44"/>
      <c r="I13" s="44"/>
      <c r="J13" s="44"/>
      <c r="K13" s="46" t="s">
        <v>28</v>
      </c>
      <c r="L13" s="44"/>
      <c r="M13" s="44"/>
      <c r="N13" s="44"/>
      <c r="O13" s="44"/>
      <c r="P13" s="44"/>
      <c r="Q13" s="44"/>
      <c r="R13" s="44"/>
    </row>
    <row r="14" spans="1:18" ht="43.2" customHeight="1" x14ac:dyDescent="0.25">
      <c r="A14" s="43" t="s">
        <v>107</v>
      </c>
      <c r="B14" s="43" t="s">
        <v>108</v>
      </c>
      <c r="C14" s="43" t="s">
        <v>109</v>
      </c>
      <c r="D14" s="43" t="s">
        <v>110</v>
      </c>
      <c r="E14" s="43" t="s">
        <v>111</v>
      </c>
      <c r="F14" s="43"/>
      <c r="G14" s="46" t="s">
        <v>28</v>
      </c>
      <c r="H14" s="44"/>
      <c r="I14" s="44"/>
      <c r="J14" s="44"/>
      <c r="K14" s="46" t="s">
        <v>28</v>
      </c>
      <c r="L14" s="44"/>
      <c r="M14" s="44"/>
      <c r="N14" s="44"/>
      <c r="O14" s="44"/>
      <c r="P14" s="44"/>
      <c r="Q14" s="44"/>
      <c r="R14" s="44"/>
    </row>
    <row r="15" spans="1:18" ht="28.8" customHeight="1" x14ac:dyDescent="0.25">
      <c r="A15" s="43" t="s">
        <v>112</v>
      </c>
      <c r="B15" s="43" t="s">
        <v>113</v>
      </c>
      <c r="C15" s="43" t="s">
        <v>114</v>
      </c>
      <c r="D15" s="43" t="s">
        <v>115</v>
      </c>
      <c r="E15" s="43" t="s">
        <v>116</v>
      </c>
      <c r="F15" s="43" t="s">
        <v>117</v>
      </c>
      <c r="G15" s="46" t="s">
        <v>28</v>
      </c>
      <c r="H15" s="44"/>
      <c r="I15" s="44"/>
      <c r="J15" s="44"/>
      <c r="K15" s="46" t="s">
        <v>28</v>
      </c>
      <c r="L15" s="44"/>
      <c r="M15" s="44"/>
      <c r="N15" s="44"/>
      <c r="O15" s="44"/>
      <c r="P15" s="44"/>
      <c r="Q15" s="44"/>
      <c r="R15" s="44"/>
    </row>
    <row r="16" spans="1:18" ht="28.8" customHeight="1" x14ac:dyDescent="0.25">
      <c r="A16" s="43" t="s">
        <v>118</v>
      </c>
      <c r="B16" s="43" t="s">
        <v>119</v>
      </c>
      <c r="C16" s="43" t="s">
        <v>120</v>
      </c>
      <c r="D16" s="43" t="s">
        <v>121</v>
      </c>
      <c r="E16" s="43" t="s">
        <v>122</v>
      </c>
      <c r="F16" s="43" t="s">
        <v>123</v>
      </c>
      <c r="G16" s="46" t="s">
        <v>28</v>
      </c>
      <c r="H16" s="44"/>
      <c r="I16" s="44"/>
      <c r="J16" s="44"/>
      <c r="K16" s="46" t="s">
        <v>28</v>
      </c>
      <c r="L16" s="44"/>
      <c r="M16" s="44"/>
      <c r="N16" s="44"/>
      <c r="O16" s="44"/>
      <c r="P16" s="44"/>
      <c r="Q16" s="44"/>
      <c r="R16" s="44"/>
    </row>
    <row r="17" spans="1:18" ht="28.8" customHeight="1" x14ac:dyDescent="0.25">
      <c r="A17" s="43" t="s">
        <v>124</v>
      </c>
      <c r="B17" s="43" t="s">
        <v>125</v>
      </c>
      <c r="C17" s="43" t="s">
        <v>126</v>
      </c>
      <c r="D17" s="43" t="s">
        <v>121</v>
      </c>
      <c r="E17" s="43" t="s">
        <v>127</v>
      </c>
      <c r="F17" s="43" t="s">
        <v>123</v>
      </c>
      <c r="G17" s="46" t="s">
        <v>28</v>
      </c>
      <c r="H17" s="44"/>
      <c r="I17" s="44"/>
      <c r="J17" s="44"/>
      <c r="K17" s="46" t="s">
        <v>28</v>
      </c>
      <c r="L17" s="44"/>
      <c r="M17" s="44"/>
      <c r="N17" s="44"/>
      <c r="O17" s="44"/>
      <c r="P17" s="44"/>
      <c r="Q17" s="44"/>
      <c r="R17" s="44"/>
    </row>
    <row r="18" spans="1:18" ht="28.8" customHeight="1" x14ac:dyDescent="0.25">
      <c r="A18" s="43" t="s">
        <v>128</v>
      </c>
      <c r="B18" s="43" t="s">
        <v>129</v>
      </c>
      <c r="C18" s="43" t="s">
        <v>130</v>
      </c>
      <c r="D18" s="43" t="s">
        <v>131</v>
      </c>
      <c r="E18" s="43" t="s">
        <v>132</v>
      </c>
      <c r="F18" s="43" t="s">
        <v>133</v>
      </c>
      <c r="G18" s="46" t="s">
        <v>28</v>
      </c>
      <c r="H18" s="44"/>
      <c r="I18" s="44"/>
      <c r="J18" s="44"/>
      <c r="K18" s="46" t="s">
        <v>28</v>
      </c>
      <c r="L18" s="44"/>
      <c r="M18" s="44"/>
      <c r="N18" s="44"/>
      <c r="O18" s="44"/>
      <c r="P18" s="44"/>
      <c r="Q18" s="44"/>
      <c r="R18" s="44"/>
    </row>
    <row r="19" spans="1:18" ht="28.8" customHeight="1" x14ac:dyDescent="0.25">
      <c r="A19" s="43" t="s">
        <v>134</v>
      </c>
      <c r="B19" s="43" t="s">
        <v>135</v>
      </c>
      <c r="C19" s="43" t="s">
        <v>136</v>
      </c>
      <c r="D19" s="43" t="s">
        <v>131</v>
      </c>
      <c r="E19" s="43" t="s">
        <v>137</v>
      </c>
      <c r="F19" s="43" t="s">
        <v>133</v>
      </c>
      <c r="G19" s="46" t="s">
        <v>28</v>
      </c>
      <c r="H19" s="44"/>
      <c r="I19" s="44"/>
      <c r="J19" s="44"/>
      <c r="K19" s="46" t="s">
        <v>28</v>
      </c>
      <c r="L19" s="44"/>
      <c r="M19" s="44"/>
      <c r="N19" s="44"/>
      <c r="O19" s="44"/>
      <c r="P19" s="44"/>
      <c r="Q19" s="44"/>
      <c r="R19" s="44"/>
    </row>
    <row r="20" spans="1:18" ht="28.8" customHeight="1" x14ac:dyDescent="0.25">
      <c r="A20" s="43" t="s">
        <v>138</v>
      </c>
      <c r="B20" s="43" t="s">
        <v>139</v>
      </c>
      <c r="C20" s="43" t="s">
        <v>140</v>
      </c>
      <c r="D20" s="43" t="s">
        <v>141</v>
      </c>
      <c r="E20" s="43" t="s">
        <v>142</v>
      </c>
      <c r="F20" s="43" t="s">
        <v>143</v>
      </c>
      <c r="G20" s="46" t="s">
        <v>28</v>
      </c>
      <c r="H20" s="44"/>
      <c r="I20" s="44"/>
      <c r="J20" s="44"/>
      <c r="K20" s="46" t="s">
        <v>28</v>
      </c>
      <c r="L20" s="44"/>
      <c r="M20" s="44"/>
      <c r="N20" s="44"/>
      <c r="O20" s="44"/>
      <c r="P20" s="44"/>
      <c r="Q20" s="44"/>
      <c r="R20" s="44"/>
    </row>
    <row r="21" spans="1:18" ht="28.8" customHeight="1" x14ac:dyDescent="0.25">
      <c r="A21" s="43" t="s">
        <v>144</v>
      </c>
      <c r="B21" s="43" t="s">
        <v>145</v>
      </c>
      <c r="C21" s="43" t="s">
        <v>146</v>
      </c>
      <c r="D21" s="43" t="s">
        <v>147</v>
      </c>
      <c r="E21" s="43" t="s">
        <v>148</v>
      </c>
      <c r="F21" s="43" t="s">
        <v>149</v>
      </c>
      <c r="G21" s="46" t="s">
        <v>28</v>
      </c>
      <c r="H21" s="44"/>
      <c r="I21" s="44"/>
      <c r="J21" s="44"/>
      <c r="K21" s="46" t="s">
        <v>28</v>
      </c>
      <c r="L21" s="44"/>
      <c r="M21" s="44"/>
      <c r="N21" s="44"/>
      <c r="O21" s="44"/>
      <c r="P21" s="44"/>
      <c r="Q21" s="44"/>
      <c r="R21" s="44"/>
    </row>
    <row r="22" spans="1:18" ht="14.4" customHeight="1" x14ac:dyDescent="0.25">
      <c r="A22" s="58"/>
      <c r="B22" s="101" t="s">
        <v>150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6"/>
    </row>
    <row r="23" spans="1:18" ht="43.2" customHeight="1" x14ac:dyDescent="0.25">
      <c r="A23" s="48" t="s">
        <v>151</v>
      </c>
      <c r="B23" s="48" t="s">
        <v>152</v>
      </c>
      <c r="C23" s="48" t="s">
        <v>153</v>
      </c>
      <c r="D23" s="48" t="s">
        <v>154</v>
      </c>
      <c r="E23" s="48" t="s">
        <v>155</v>
      </c>
      <c r="F23" s="48"/>
      <c r="G23" s="49" t="s">
        <v>28</v>
      </c>
      <c r="H23" s="50"/>
      <c r="I23" s="50"/>
      <c r="J23" s="50"/>
      <c r="K23" s="49" t="s">
        <v>28</v>
      </c>
      <c r="L23" s="50"/>
      <c r="M23" s="50"/>
      <c r="N23" s="50"/>
      <c r="O23" s="50"/>
      <c r="P23" s="50"/>
      <c r="Q23" s="50"/>
      <c r="R23" s="50"/>
    </row>
    <row r="24" spans="1:18" ht="43.2" customHeight="1" x14ac:dyDescent="0.25">
      <c r="A24" s="43" t="s">
        <v>156</v>
      </c>
      <c r="B24" s="43" t="s">
        <v>157</v>
      </c>
      <c r="C24" s="43" t="s">
        <v>158</v>
      </c>
      <c r="D24" s="43" t="s">
        <v>159</v>
      </c>
      <c r="E24" s="43" t="s">
        <v>160</v>
      </c>
      <c r="F24" s="43"/>
      <c r="G24" s="46" t="s">
        <v>28</v>
      </c>
      <c r="H24" s="44"/>
      <c r="I24" s="44"/>
      <c r="J24" s="44"/>
      <c r="K24" s="46" t="s">
        <v>28</v>
      </c>
      <c r="L24" s="44"/>
      <c r="M24" s="44"/>
      <c r="N24" s="44"/>
      <c r="O24" s="44"/>
      <c r="P24" s="44"/>
      <c r="Q24" s="44"/>
      <c r="R24" s="44"/>
    </row>
    <row r="25" spans="1:18" ht="28.8" customHeight="1" x14ac:dyDescent="0.25">
      <c r="A25" s="43" t="s">
        <v>161</v>
      </c>
      <c r="B25" s="43" t="s">
        <v>162</v>
      </c>
      <c r="C25" s="43" t="s">
        <v>163</v>
      </c>
      <c r="D25" s="43" t="s">
        <v>164</v>
      </c>
      <c r="E25" s="43" t="s">
        <v>165</v>
      </c>
      <c r="F25" s="43"/>
      <c r="G25" s="46" t="s">
        <v>28</v>
      </c>
      <c r="H25" s="44"/>
      <c r="I25" s="44"/>
      <c r="J25" s="44"/>
      <c r="K25" s="46" t="s">
        <v>28</v>
      </c>
      <c r="L25" s="44"/>
      <c r="M25" s="44"/>
      <c r="N25" s="44"/>
      <c r="O25" s="44"/>
      <c r="P25" s="44"/>
      <c r="Q25" s="44"/>
      <c r="R25" s="44"/>
    </row>
    <row r="26" spans="1:18" ht="28.8" customHeight="1" x14ac:dyDescent="0.25">
      <c r="A26" s="43" t="s">
        <v>166</v>
      </c>
      <c r="B26" s="43" t="s">
        <v>167</v>
      </c>
      <c r="C26" s="43" t="s">
        <v>168</v>
      </c>
      <c r="D26" s="43" t="s">
        <v>169</v>
      </c>
      <c r="E26" s="43" t="s">
        <v>170</v>
      </c>
      <c r="F26" s="43"/>
      <c r="G26" s="46" t="s">
        <v>28</v>
      </c>
      <c r="H26" s="44"/>
      <c r="I26" s="44"/>
      <c r="J26" s="44"/>
      <c r="K26" s="46" t="s">
        <v>28</v>
      </c>
      <c r="L26" s="44"/>
      <c r="M26" s="44"/>
      <c r="N26" s="44"/>
      <c r="O26" s="44"/>
      <c r="P26" s="44"/>
      <c r="Q26" s="44"/>
      <c r="R26" s="44"/>
    </row>
    <row r="27" spans="1:18" ht="43.2" customHeight="1" x14ac:dyDescent="0.25">
      <c r="A27" s="43" t="s">
        <v>171</v>
      </c>
      <c r="B27" s="43" t="s">
        <v>172</v>
      </c>
      <c r="C27" s="43" t="s">
        <v>173</v>
      </c>
      <c r="D27" s="43" t="s">
        <v>174</v>
      </c>
      <c r="E27" s="43" t="s">
        <v>175</v>
      </c>
      <c r="F27" s="43" t="s">
        <v>176</v>
      </c>
      <c r="G27" s="46" t="s">
        <v>28</v>
      </c>
      <c r="H27" s="44"/>
      <c r="I27" s="44"/>
      <c r="J27" s="44"/>
      <c r="K27" s="46" t="s">
        <v>28</v>
      </c>
      <c r="L27" s="44"/>
      <c r="M27" s="44"/>
      <c r="N27" s="44"/>
      <c r="O27" s="44"/>
      <c r="P27" s="44"/>
      <c r="Q27" s="44"/>
      <c r="R27" s="44"/>
    </row>
    <row r="28" spans="1:18" ht="43.2" customHeight="1" x14ac:dyDescent="0.25">
      <c r="A28" s="43" t="s">
        <v>177</v>
      </c>
      <c r="B28" s="43" t="s">
        <v>178</v>
      </c>
      <c r="C28" s="43" t="s">
        <v>179</v>
      </c>
      <c r="D28" s="43" t="s">
        <v>180</v>
      </c>
      <c r="E28" s="43" t="s">
        <v>181</v>
      </c>
      <c r="F28" s="43" t="s">
        <v>182</v>
      </c>
      <c r="G28" s="46" t="s">
        <v>28</v>
      </c>
      <c r="H28" s="44"/>
      <c r="I28" s="44"/>
      <c r="J28" s="44"/>
      <c r="K28" s="46" t="s">
        <v>28</v>
      </c>
      <c r="L28" s="44"/>
      <c r="M28" s="44"/>
      <c r="N28" s="44"/>
      <c r="O28" s="44"/>
      <c r="P28" s="44"/>
      <c r="Q28" s="44"/>
      <c r="R28" s="44"/>
    </row>
    <row r="29" spans="1:18" ht="57.6" customHeight="1" x14ac:dyDescent="0.25">
      <c r="A29" s="43" t="s">
        <v>183</v>
      </c>
      <c r="B29" s="43" t="s">
        <v>184</v>
      </c>
      <c r="C29" s="43" t="s">
        <v>185</v>
      </c>
      <c r="D29" s="43" t="s">
        <v>186</v>
      </c>
      <c r="E29" s="43" t="s">
        <v>187</v>
      </c>
      <c r="F29" s="43" t="s">
        <v>188</v>
      </c>
      <c r="G29" s="46" t="s">
        <v>28</v>
      </c>
      <c r="H29" s="44"/>
      <c r="I29" s="44"/>
      <c r="J29" s="44"/>
      <c r="K29" s="46" t="s">
        <v>28</v>
      </c>
      <c r="L29" s="44"/>
      <c r="M29" s="44"/>
      <c r="N29" s="44"/>
      <c r="O29" s="44"/>
      <c r="P29" s="44"/>
      <c r="Q29" s="44"/>
      <c r="R29" s="44"/>
    </row>
    <row r="30" spans="1:18" ht="57.6" customHeight="1" x14ac:dyDescent="0.25">
      <c r="A30" s="43" t="s">
        <v>189</v>
      </c>
      <c r="B30" s="43" t="s">
        <v>190</v>
      </c>
      <c r="C30" s="43" t="s">
        <v>191</v>
      </c>
      <c r="D30" s="43" t="s">
        <v>192</v>
      </c>
      <c r="E30" s="43" t="s">
        <v>193</v>
      </c>
      <c r="F30" s="43" t="s">
        <v>194</v>
      </c>
      <c r="G30" s="46" t="s">
        <v>28</v>
      </c>
      <c r="H30" s="44"/>
      <c r="I30" s="44"/>
      <c r="J30" s="44"/>
      <c r="K30" s="46" t="s">
        <v>28</v>
      </c>
      <c r="L30" s="44"/>
      <c r="M30" s="44"/>
      <c r="N30" s="44"/>
      <c r="O30" s="44"/>
      <c r="P30" s="44"/>
      <c r="Q30" s="44"/>
      <c r="R30" s="44"/>
    </row>
    <row r="31" spans="1:18" ht="28.8" customHeight="1" x14ac:dyDescent="0.25">
      <c r="A31" s="43" t="s">
        <v>195</v>
      </c>
      <c r="B31" s="43" t="s">
        <v>196</v>
      </c>
      <c r="C31" s="43" t="s">
        <v>197</v>
      </c>
      <c r="D31" s="43" t="s">
        <v>198</v>
      </c>
      <c r="E31" s="43" t="s">
        <v>199</v>
      </c>
      <c r="F31" s="43" t="s">
        <v>200</v>
      </c>
      <c r="G31" s="46" t="s">
        <v>28</v>
      </c>
      <c r="H31" s="44"/>
      <c r="I31" s="44"/>
      <c r="J31" s="44"/>
      <c r="K31" s="46" t="s">
        <v>28</v>
      </c>
      <c r="L31" s="44"/>
      <c r="M31" s="44"/>
      <c r="N31" s="44"/>
      <c r="O31" s="44"/>
      <c r="P31" s="44"/>
      <c r="Q31" s="44"/>
      <c r="R31" s="44"/>
    </row>
    <row r="32" spans="1:18" ht="28.8" customHeight="1" x14ac:dyDescent="0.25">
      <c r="A32" s="43" t="s">
        <v>201</v>
      </c>
      <c r="B32" s="43" t="s">
        <v>202</v>
      </c>
      <c r="C32" s="43" t="s">
        <v>203</v>
      </c>
      <c r="D32" s="43" t="s">
        <v>204</v>
      </c>
      <c r="E32" s="43" t="s">
        <v>205</v>
      </c>
      <c r="F32" s="43"/>
      <c r="G32" s="46" t="s">
        <v>28</v>
      </c>
      <c r="H32" s="44"/>
      <c r="I32" s="44"/>
      <c r="J32" s="44"/>
      <c r="K32" s="46" t="s">
        <v>28</v>
      </c>
      <c r="L32" s="44"/>
      <c r="M32" s="44"/>
      <c r="N32" s="44"/>
      <c r="O32" s="44"/>
      <c r="P32" s="44"/>
      <c r="Q32" s="44"/>
      <c r="R32" s="44"/>
    </row>
    <row r="33" spans="1:18" ht="43.2" customHeight="1" x14ac:dyDescent="0.25">
      <c r="A33" s="43" t="s">
        <v>206</v>
      </c>
      <c r="B33" s="43" t="s">
        <v>207</v>
      </c>
      <c r="C33" s="43" t="s">
        <v>208</v>
      </c>
      <c r="D33" s="43" t="s">
        <v>209</v>
      </c>
      <c r="E33" s="43" t="s">
        <v>210</v>
      </c>
      <c r="F33" s="43" t="s">
        <v>149</v>
      </c>
      <c r="G33" s="46" t="s">
        <v>28</v>
      </c>
      <c r="H33" s="44"/>
      <c r="I33" s="44"/>
      <c r="J33" s="44"/>
      <c r="K33" s="46" t="s">
        <v>28</v>
      </c>
      <c r="L33" s="44"/>
      <c r="M33" s="44"/>
      <c r="N33" s="44"/>
      <c r="O33" s="44"/>
      <c r="P33" s="44"/>
      <c r="Q33" s="44"/>
      <c r="R33" s="44"/>
    </row>
    <row r="34" spans="1:18" ht="28.8" customHeight="1" x14ac:dyDescent="0.25">
      <c r="A34" s="43" t="s">
        <v>211</v>
      </c>
      <c r="B34" s="43" t="s">
        <v>212</v>
      </c>
      <c r="C34" s="43" t="s">
        <v>213</v>
      </c>
      <c r="D34" s="43" t="s">
        <v>214</v>
      </c>
      <c r="E34" s="43" t="s">
        <v>215</v>
      </c>
      <c r="F34" s="43" t="s">
        <v>216</v>
      </c>
      <c r="G34" s="46" t="s">
        <v>28</v>
      </c>
      <c r="H34" s="44"/>
      <c r="I34" s="44"/>
      <c r="J34" s="44"/>
      <c r="K34" s="46" t="s">
        <v>28</v>
      </c>
      <c r="L34" s="44"/>
      <c r="M34" s="44"/>
      <c r="N34" s="44"/>
      <c r="O34" s="44"/>
      <c r="P34" s="44"/>
      <c r="Q34" s="44"/>
      <c r="R34" s="44"/>
    </row>
    <row r="35" spans="1:18" ht="28.8" customHeight="1" x14ac:dyDescent="0.25">
      <c r="A35" s="43" t="s">
        <v>217</v>
      </c>
      <c r="B35" s="43" t="s">
        <v>218</v>
      </c>
      <c r="C35" s="43" t="s">
        <v>219</v>
      </c>
      <c r="D35" s="43" t="s">
        <v>209</v>
      </c>
      <c r="E35" s="43" t="s">
        <v>220</v>
      </c>
      <c r="F35" s="43" t="s">
        <v>221</v>
      </c>
      <c r="G35" s="46" t="s">
        <v>28</v>
      </c>
      <c r="H35" s="44"/>
      <c r="I35" s="44"/>
      <c r="J35" s="44"/>
      <c r="K35" s="46" t="s">
        <v>28</v>
      </c>
      <c r="L35" s="44"/>
      <c r="M35" s="44"/>
      <c r="N35" s="44"/>
      <c r="O35" s="44"/>
      <c r="P35" s="44"/>
      <c r="Q35" s="44"/>
      <c r="R35" s="44"/>
    </row>
    <row r="36" spans="1:18" ht="43.2" customHeight="1" x14ac:dyDescent="0.25">
      <c r="A36" s="43" t="s">
        <v>222</v>
      </c>
      <c r="B36" s="43" t="s">
        <v>223</v>
      </c>
      <c r="C36" s="43" t="s">
        <v>224</v>
      </c>
      <c r="D36" s="43" t="s">
        <v>209</v>
      </c>
      <c r="E36" s="43" t="s">
        <v>225</v>
      </c>
      <c r="F36" s="43" t="s">
        <v>221</v>
      </c>
      <c r="G36" s="46" t="s">
        <v>28</v>
      </c>
      <c r="H36" s="44"/>
      <c r="I36" s="44"/>
      <c r="J36" s="44"/>
      <c r="K36" s="46" t="s">
        <v>28</v>
      </c>
      <c r="L36" s="44"/>
      <c r="M36" s="44"/>
      <c r="N36" s="44"/>
      <c r="O36" s="44"/>
      <c r="P36" s="44"/>
      <c r="Q36" s="44"/>
      <c r="R36" s="44"/>
    </row>
    <row r="37" spans="1:18" ht="57.6" customHeight="1" x14ac:dyDescent="0.25">
      <c r="A37" s="43" t="s">
        <v>226</v>
      </c>
      <c r="B37" s="43" t="s">
        <v>227</v>
      </c>
      <c r="C37" s="43" t="s">
        <v>228</v>
      </c>
      <c r="D37" s="43" t="s">
        <v>229</v>
      </c>
      <c r="E37" s="43" t="s">
        <v>230</v>
      </c>
      <c r="F37" s="43" t="s">
        <v>221</v>
      </c>
      <c r="G37" s="46" t="s">
        <v>28</v>
      </c>
      <c r="H37" s="44"/>
      <c r="I37" s="44"/>
      <c r="J37" s="44"/>
      <c r="K37" s="46" t="s">
        <v>28</v>
      </c>
      <c r="L37" s="44"/>
      <c r="M37" s="44"/>
      <c r="N37" s="44"/>
      <c r="O37" s="44"/>
      <c r="P37" s="44"/>
      <c r="Q37" s="44"/>
      <c r="R37" s="44"/>
    </row>
    <row r="38" spans="1:18" ht="43.2" customHeight="1" x14ac:dyDescent="0.25">
      <c r="A38" s="43" t="s">
        <v>231</v>
      </c>
      <c r="B38" s="43" t="s">
        <v>232</v>
      </c>
      <c r="C38" s="43" t="s">
        <v>233</v>
      </c>
      <c r="D38" s="43" t="s">
        <v>234</v>
      </c>
      <c r="E38" s="43" t="s">
        <v>235</v>
      </c>
      <c r="F38" s="43" t="s">
        <v>100</v>
      </c>
      <c r="G38" s="46" t="s">
        <v>28</v>
      </c>
      <c r="H38" s="44"/>
      <c r="I38" s="44"/>
      <c r="J38" s="44"/>
      <c r="K38" s="46" t="s">
        <v>28</v>
      </c>
      <c r="L38" s="44"/>
      <c r="M38" s="44"/>
      <c r="N38" s="44"/>
      <c r="O38" s="44"/>
      <c r="P38" s="44"/>
      <c r="Q38" s="44"/>
      <c r="R38" s="44"/>
    </row>
    <row r="39" spans="1:18" ht="43.2" customHeight="1" x14ac:dyDescent="0.25">
      <c r="A39" s="43" t="s">
        <v>236</v>
      </c>
      <c r="B39" s="43" t="s">
        <v>237</v>
      </c>
      <c r="C39" s="43" t="s">
        <v>238</v>
      </c>
      <c r="D39" s="43" t="s">
        <v>239</v>
      </c>
      <c r="E39" s="43" t="s">
        <v>240</v>
      </c>
      <c r="F39" s="43"/>
      <c r="G39" s="46" t="s">
        <v>28</v>
      </c>
      <c r="H39" s="44"/>
      <c r="I39" s="44"/>
      <c r="J39" s="44"/>
      <c r="K39" s="46" t="s">
        <v>28</v>
      </c>
      <c r="L39" s="44"/>
      <c r="M39" s="44"/>
      <c r="N39" s="44"/>
      <c r="O39" s="44"/>
      <c r="P39" s="44"/>
      <c r="Q39" s="44"/>
      <c r="R39" s="44"/>
    </row>
    <row r="40" spans="1:18" ht="72" customHeight="1" x14ac:dyDescent="0.25">
      <c r="A40" s="43" t="s">
        <v>241</v>
      </c>
      <c r="B40" s="43" t="s">
        <v>242</v>
      </c>
      <c r="C40" s="43" t="s">
        <v>97</v>
      </c>
      <c r="D40" s="43" t="s">
        <v>243</v>
      </c>
      <c r="E40" s="43" t="s">
        <v>244</v>
      </c>
      <c r="F40" s="43" t="s">
        <v>245</v>
      </c>
      <c r="G40" s="46" t="s">
        <v>28</v>
      </c>
      <c r="H40" s="44"/>
      <c r="I40" s="44"/>
      <c r="J40" s="44"/>
      <c r="K40" s="46" t="s">
        <v>28</v>
      </c>
      <c r="L40" s="44"/>
      <c r="M40" s="44"/>
      <c r="N40" s="44"/>
      <c r="O40" s="44"/>
      <c r="P40" s="44"/>
      <c r="Q40" s="44"/>
      <c r="R40" s="44"/>
    </row>
    <row r="41" spans="1:18" ht="43.2" customHeight="1" x14ac:dyDescent="0.25">
      <c r="A41" s="43" t="s">
        <v>246</v>
      </c>
      <c r="B41" s="43" t="s">
        <v>247</v>
      </c>
      <c r="C41" s="43" t="s">
        <v>97</v>
      </c>
      <c r="D41" s="43" t="s">
        <v>248</v>
      </c>
      <c r="E41" s="43" t="s">
        <v>249</v>
      </c>
      <c r="F41" s="43"/>
      <c r="G41" s="46" t="s">
        <v>28</v>
      </c>
      <c r="H41" s="44"/>
      <c r="I41" s="44"/>
      <c r="J41" s="44"/>
      <c r="K41" s="46" t="s">
        <v>28</v>
      </c>
      <c r="L41" s="44"/>
      <c r="M41" s="44"/>
      <c r="N41" s="44"/>
      <c r="O41" s="44"/>
      <c r="P41" s="44"/>
      <c r="Q41" s="44"/>
      <c r="R41" s="44"/>
    </row>
    <row r="42" spans="1:18" ht="72" customHeight="1" x14ac:dyDescent="0.25">
      <c r="A42" s="43" t="s">
        <v>250</v>
      </c>
      <c r="B42" s="43" t="s">
        <v>251</v>
      </c>
      <c r="C42" s="43" t="s">
        <v>252</v>
      </c>
      <c r="D42" s="43" t="s">
        <v>253</v>
      </c>
      <c r="E42" s="43" t="s">
        <v>254</v>
      </c>
      <c r="F42" s="43"/>
      <c r="G42" s="46" t="s">
        <v>28</v>
      </c>
      <c r="H42" s="44"/>
      <c r="I42" s="44"/>
      <c r="J42" s="44"/>
      <c r="K42" s="46" t="s">
        <v>28</v>
      </c>
      <c r="L42" s="44"/>
      <c r="M42" s="44"/>
      <c r="N42" s="44"/>
      <c r="O42" s="44"/>
      <c r="P42" s="44"/>
      <c r="Q42" s="44"/>
      <c r="R42" s="44"/>
    </row>
    <row r="43" spans="1:18" ht="43.2" customHeight="1" x14ac:dyDescent="0.25">
      <c r="A43" s="43" t="s">
        <v>255</v>
      </c>
      <c r="B43" s="43" t="s">
        <v>256</v>
      </c>
      <c r="C43" s="43" t="s">
        <v>233</v>
      </c>
      <c r="D43" s="43" t="s">
        <v>257</v>
      </c>
      <c r="E43" s="43" t="s">
        <v>258</v>
      </c>
      <c r="F43" s="43" t="s">
        <v>259</v>
      </c>
      <c r="G43" s="46" t="s">
        <v>28</v>
      </c>
      <c r="H43" s="44"/>
      <c r="I43" s="44"/>
      <c r="J43" s="44"/>
      <c r="K43" s="46" t="s">
        <v>28</v>
      </c>
      <c r="L43" s="44"/>
      <c r="M43" s="44"/>
      <c r="N43" s="44"/>
      <c r="O43" s="44"/>
      <c r="P43" s="44"/>
      <c r="Q43" s="44"/>
      <c r="R43" s="44"/>
    </row>
    <row r="44" spans="1:18" ht="43.2" customHeight="1" x14ac:dyDescent="0.25">
      <c r="A44" s="43" t="s">
        <v>260</v>
      </c>
      <c r="B44" s="43" t="s">
        <v>261</v>
      </c>
      <c r="C44" s="43" t="s">
        <v>97</v>
      </c>
      <c r="D44" s="43" t="s">
        <v>262</v>
      </c>
      <c r="E44" s="43" t="s">
        <v>263</v>
      </c>
      <c r="F44" s="43" t="s">
        <v>259</v>
      </c>
      <c r="G44" s="46" t="s">
        <v>28</v>
      </c>
      <c r="H44" s="44"/>
      <c r="I44" s="44"/>
      <c r="J44" s="44"/>
      <c r="K44" s="46" t="s">
        <v>28</v>
      </c>
      <c r="L44" s="44"/>
      <c r="M44" s="44"/>
      <c r="N44" s="44"/>
      <c r="O44" s="44"/>
      <c r="P44" s="44"/>
      <c r="Q44" s="44"/>
      <c r="R44" s="44"/>
    </row>
    <row r="45" spans="1:18" ht="43.2" customHeight="1" x14ac:dyDescent="0.25">
      <c r="A45" s="43" t="s">
        <v>264</v>
      </c>
      <c r="B45" s="43" t="s">
        <v>265</v>
      </c>
      <c r="C45" s="43" t="s">
        <v>97</v>
      </c>
      <c r="D45" s="43" t="s">
        <v>266</v>
      </c>
      <c r="E45" s="43" t="s">
        <v>267</v>
      </c>
      <c r="F45" s="43" t="s">
        <v>259</v>
      </c>
      <c r="G45" s="46" t="s">
        <v>28</v>
      </c>
      <c r="H45" s="44"/>
      <c r="I45" s="44"/>
      <c r="J45" s="44"/>
      <c r="K45" s="46" t="s">
        <v>28</v>
      </c>
      <c r="L45" s="44"/>
      <c r="M45" s="44"/>
      <c r="N45" s="44"/>
      <c r="O45" s="44"/>
      <c r="P45" s="44"/>
      <c r="Q45" s="44"/>
      <c r="R45" s="44"/>
    </row>
    <row r="46" spans="1:18" ht="43.2" customHeight="1" x14ac:dyDescent="0.25">
      <c r="A46" s="43" t="s">
        <v>268</v>
      </c>
      <c r="B46" s="43" t="s">
        <v>269</v>
      </c>
      <c r="C46" s="43" t="s">
        <v>270</v>
      </c>
      <c r="D46" s="43" t="s">
        <v>271</v>
      </c>
      <c r="E46" s="43" t="s">
        <v>272</v>
      </c>
      <c r="F46" s="43" t="s">
        <v>259</v>
      </c>
      <c r="G46" s="46" t="s">
        <v>28</v>
      </c>
      <c r="H46" s="44"/>
      <c r="I46" s="44"/>
      <c r="J46" s="44"/>
      <c r="K46" s="46" t="s">
        <v>28</v>
      </c>
      <c r="L46" s="44"/>
      <c r="M46" s="44"/>
      <c r="N46" s="44"/>
      <c r="O46" s="44"/>
      <c r="P46" s="44"/>
      <c r="Q46" s="44"/>
      <c r="R46" s="44"/>
    </row>
    <row r="47" spans="1:18" ht="43.2" customHeight="1" x14ac:dyDescent="0.25">
      <c r="A47" s="43" t="s">
        <v>273</v>
      </c>
      <c r="B47" s="43" t="s">
        <v>274</v>
      </c>
      <c r="C47" s="43" t="s">
        <v>97</v>
      </c>
      <c r="D47" s="43" t="s">
        <v>275</v>
      </c>
      <c r="E47" s="43" t="s">
        <v>276</v>
      </c>
      <c r="F47" s="43" t="s">
        <v>277</v>
      </c>
      <c r="G47" s="46" t="s">
        <v>28</v>
      </c>
      <c r="H47" s="44"/>
      <c r="I47" s="44"/>
      <c r="J47" s="44"/>
      <c r="K47" s="46" t="s">
        <v>28</v>
      </c>
      <c r="L47" s="44"/>
      <c r="M47" s="44"/>
      <c r="N47" s="44"/>
      <c r="O47" s="44"/>
      <c r="P47" s="44"/>
      <c r="Q47" s="44"/>
      <c r="R47" s="44"/>
    </row>
    <row r="48" spans="1:18" ht="43.2" customHeight="1" x14ac:dyDescent="0.25">
      <c r="A48" s="43" t="s">
        <v>278</v>
      </c>
      <c r="B48" s="43" t="s">
        <v>279</v>
      </c>
      <c r="C48" s="43" t="s">
        <v>280</v>
      </c>
      <c r="D48" s="43" t="s">
        <v>281</v>
      </c>
      <c r="E48" s="43" t="s">
        <v>282</v>
      </c>
      <c r="F48" s="43" t="s">
        <v>283</v>
      </c>
      <c r="G48" s="46" t="s">
        <v>28</v>
      </c>
      <c r="H48" s="44"/>
      <c r="I48" s="44"/>
      <c r="J48" s="44"/>
      <c r="K48" s="46" t="s">
        <v>28</v>
      </c>
      <c r="L48" s="44"/>
      <c r="M48" s="44"/>
      <c r="N48" s="44"/>
      <c r="O48" s="44"/>
      <c r="P48" s="44"/>
      <c r="Q48" s="44"/>
      <c r="R48" s="44"/>
    </row>
    <row r="49" spans="1:18" ht="43.2" customHeight="1" x14ac:dyDescent="0.25">
      <c r="A49" s="43" t="s">
        <v>284</v>
      </c>
      <c r="B49" s="43" t="s">
        <v>285</v>
      </c>
      <c r="C49" s="43" t="s">
        <v>97</v>
      </c>
      <c r="D49" s="43" t="s">
        <v>286</v>
      </c>
      <c r="E49" s="43" t="s">
        <v>287</v>
      </c>
      <c r="F49" s="43" t="s">
        <v>288</v>
      </c>
      <c r="G49" s="46" t="s">
        <v>28</v>
      </c>
      <c r="H49" s="44"/>
      <c r="I49" s="44"/>
      <c r="J49" s="44"/>
      <c r="K49" s="46" t="s">
        <v>28</v>
      </c>
      <c r="L49" s="44"/>
      <c r="M49" s="44"/>
      <c r="N49" s="44"/>
      <c r="O49" s="44"/>
      <c r="P49" s="44"/>
      <c r="Q49" s="44"/>
      <c r="R49" s="44"/>
    </row>
    <row r="50" spans="1:18" ht="43.2" customHeight="1" x14ac:dyDescent="0.25">
      <c r="A50" s="43" t="s">
        <v>289</v>
      </c>
      <c r="B50" s="43" t="s">
        <v>290</v>
      </c>
      <c r="C50" s="43" t="s">
        <v>291</v>
      </c>
      <c r="D50" s="43" t="s">
        <v>292</v>
      </c>
      <c r="E50" s="43" t="s">
        <v>293</v>
      </c>
      <c r="F50" s="43" t="s">
        <v>294</v>
      </c>
      <c r="G50" s="46" t="s">
        <v>28</v>
      </c>
      <c r="H50" s="44"/>
      <c r="I50" s="44"/>
      <c r="J50" s="44"/>
      <c r="K50" s="46" t="s">
        <v>28</v>
      </c>
      <c r="L50" s="44"/>
      <c r="M50" s="44"/>
      <c r="N50" s="44"/>
      <c r="O50" s="44"/>
      <c r="P50" s="44"/>
      <c r="Q50" s="44"/>
      <c r="R50" s="44"/>
    </row>
    <row r="51" spans="1:18" ht="43.2" customHeight="1" x14ac:dyDescent="0.25">
      <c r="A51" s="43" t="s">
        <v>295</v>
      </c>
      <c r="B51" s="43" t="s">
        <v>296</v>
      </c>
      <c r="C51" s="43" t="s">
        <v>97</v>
      </c>
      <c r="D51" s="43" t="s">
        <v>297</v>
      </c>
      <c r="E51" s="43" t="s">
        <v>298</v>
      </c>
      <c r="F51" s="43" t="s">
        <v>149</v>
      </c>
      <c r="G51" s="46" t="s">
        <v>28</v>
      </c>
      <c r="H51" s="44"/>
      <c r="I51" s="44"/>
      <c r="J51" s="44"/>
      <c r="K51" s="46" t="s">
        <v>28</v>
      </c>
      <c r="L51" s="44"/>
      <c r="M51" s="44"/>
      <c r="N51" s="44"/>
      <c r="O51" s="44"/>
      <c r="P51" s="44"/>
      <c r="Q51" s="44"/>
      <c r="R51" s="44"/>
    </row>
    <row r="52" spans="1:18" ht="28.8" customHeight="1" x14ac:dyDescent="0.25">
      <c r="A52" s="43" t="s">
        <v>299</v>
      </c>
      <c r="B52" s="43" t="s">
        <v>300</v>
      </c>
      <c r="C52" s="43" t="s">
        <v>301</v>
      </c>
      <c r="D52" s="43" t="s">
        <v>302</v>
      </c>
      <c r="E52" s="43" t="s">
        <v>303</v>
      </c>
      <c r="F52" s="43"/>
      <c r="G52" s="46" t="s">
        <v>28</v>
      </c>
      <c r="H52" s="44"/>
      <c r="I52" s="44"/>
      <c r="J52" s="44"/>
      <c r="K52" s="46" t="s">
        <v>28</v>
      </c>
      <c r="L52" s="44"/>
      <c r="M52" s="44"/>
      <c r="N52" s="44"/>
      <c r="O52" s="44"/>
      <c r="P52" s="44"/>
      <c r="Q52" s="44"/>
      <c r="R52" s="44"/>
    </row>
    <row r="53" spans="1:18" ht="43.2" customHeight="1" x14ac:dyDescent="0.25">
      <c r="A53" s="43" t="s">
        <v>304</v>
      </c>
      <c r="B53" s="43" t="s">
        <v>305</v>
      </c>
      <c r="C53" s="43" t="s">
        <v>97</v>
      </c>
      <c r="D53" s="43" t="s">
        <v>306</v>
      </c>
      <c r="E53" s="43" t="s">
        <v>307</v>
      </c>
      <c r="F53" s="43" t="s">
        <v>308</v>
      </c>
      <c r="G53" s="46" t="s">
        <v>28</v>
      </c>
      <c r="H53" s="44"/>
      <c r="I53" s="44"/>
      <c r="J53" s="44"/>
      <c r="K53" s="46" t="s">
        <v>28</v>
      </c>
      <c r="L53" s="44"/>
      <c r="M53" s="44"/>
      <c r="N53" s="44"/>
      <c r="O53" s="44"/>
      <c r="P53" s="44"/>
      <c r="Q53" s="44"/>
      <c r="R53" s="44"/>
    </row>
    <row r="54" spans="1:18" ht="57.6" customHeight="1" x14ac:dyDescent="0.25">
      <c r="A54" s="43" t="s">
        <v>309</v>
      </c>
      <c r="B54" s="43" t="s">
        <v>310</v>
      </c>
      <c r="C54" s="43" t="s">
        <v>311</v>
      </c>
      <c r="D54" s="43" t="s">
        <v>312</v>
      </c>
      <c r="E54" s="43" t="s">
        <v>313</v>
      </c>
      <c r="F54" s="43" t="s">
        <v>314</v>
      </c>
      <c r="G54" s="46" t="s">
        <v>28</v>
      </c>
      <c r="H54" s="44"/>
      <c r="I54" s="44"/>
      <c r="J54" s="44"/>
      <c r="K54" s="46" t="s">
        <v>28</v>
      </c>
      <c r="L54" s="44"/>
      <c r="M54" s="44"/>
      <c r="N54" s="44"/>
      <c r="O54" s="44"/>
      <c r="P54" s="44"/>
      <c r="Q54" s="44"/>
      <c r="R54" s="44"/>
    </row>
    <row r="55" spans="1:18" ht="43.2" customHeight="1" x14ac:dyDescent="0.25">
      <c r="A55" s="43" t="s">
        <v>315</v>
      </c>
      <c r="B55" s="43" t="s">
        <v>316</v>
      </c>
      <c r="C55" s="43" t="s">
        <v>317</v>
      </c>
      <c r="D55" s="43" t="s">
        <v>318</v>
      </c>
      <c r="E55" s="43" t="s">
        <v>319</v>
      </c>
      <c r="F55" s="43" t="s">
        <v>320</v>
      </c>
      <c r="G55" s="46" t="s">
        <v>28</v>
      </c>
      <c r="H55" s="44"/>
      <c r="I55" s="44"/>
      <c r="J55" s="44"/>
      <c r="K55" s="46" t="s">
        <v>28</v>
      </c>
      <c r="L55" s="44"/>
      <c r="M55" s="44"/>
      <c r="N55" s="44"/>
      <c r="O55" s="44"/>
      <c r="P55" s="44"/>
      <c r="Q55" s="44"/>
      <c r="R55" s="44"/>
    </row>
    <row r="56" spans="1:18" ht="43.2" customHeight="1" x14ac:dyDescent="0.25">
      <c r="A56" s="43" t="s">
        <v>321</v>
      </c>
      <c r="B56" s="43" t="s">
        <v>322</v>
      </c>
      <c r="C56" s="43" t="s">
        <v>323</v>
      </c>
      <c r="D56" s="43" t="s">
        <v>324</v>
      </c>
      <c r="E56" s="43" t="s">
        <v>325</v>
      </c>
      <c r="F56" s="43" t="s">
        <v>326</v>
      </c>
      <c r="G56" s="46" t="s">
        <v>28</v>
      </c>
      <c r="H56" s="44"/>
      <c r="I56" s="44"/>
      <c r="J56" s="44"/>
      <c r="K56" s="46" t="s">
        <v>28</v>
      </c>
      <c r="L56" s="44"/>
      <c r="M56" s="44"/>
      <c r="N56" s="44"/>
      <c r="O56" s="44"/>
      <c r="P56" s="44"/>
      <c r="Q56" s="44"/>
      <c r="R56" s="44"/>
    </row>
    <row r="57" spans="1:18" ht="43.2" customHeight="1" x14ac:dyDescent="0.25">
      <c r="A57" s="43" t="s">
        <v>327</v>
      </c>
      <c r="B57" s="43" t="s">
        <v>328</v>
      </c>
      <c r="C57" s="43" t="s">
        <v>329</v>
      </c>
      <c r="D57" s="43" t="s">
        <v>330</v>
      </c>
      <c r="E57" s="43" t="s">
        <v>331</v>
      </c>
      <c r="F57" s="43" t="s">
        <v>320</v>
      </c>
      <c r="G57" s="46" t="s">
        <v>28</v>
      </c>
      <c r="H57" s="44"/>
      <c r="I57" s="44"/>
      <c r="J57" s="44"/>
      <c r="K57" s="46" t="s">
        <v>28</v>
      </c>
      <c r="L57" s="44"/>
      <c r="M57" s="44"/>
      <c r="N57" s="44"/>
      <c r="O57" s="44"/>
      <c r="P57" s="44"/>
      <c r="Q57" s="44"/>
      <c r="R57" s="44"/>
    </row>
    <row r="58" spans="1:18" ht="57.6" customHeight="1" x14ac:dyDescent="0.25">
      <c r="A58" s="43" t="s">
        <v>332</v>
      </c>
      <c r="B58" s="43" t="s">
        <v>333</v>
      </c>
      <c r="C58" s="43" t="s">
        <v>97</v>
      </c>
      <c r="D58" s="43" t="s">
        <v>334</v>
      </c>
      <c r="E58" s="43" t="s">
        <v>335</v>
      </c>
      <c r="F58" s="43" t="s">
        <v>320</v>
      </c>
      <c r="G58" s="46" t="s">
        <v>28</v>
      </c>
      <c r="H58" s="44"/>
      <c r="I58" s="44"/>
      <c r="J58" s="44"/>
      <c r="K58" s="46" t="s">
        <v>28</v>
      </c>
      <c r="L58" s="44"/>
      <c r="M58" s="44"/>
      <c r="N58" s="44"/>
      <c r="O58" s="44"/>
      <c r="P58" s="44"/>
      <c r="Q58" s="44"/>
      <c r="R58" s="44"/>
    </row>
    <row r="59" spans="1:18" ht="43.2" customHeight="1" x14ac:dyDescent="0.25">
      <c r="A59" s="43" t="s">
        <v>336</v>
      </c>
      <c r="B59" s="43" t="s">
        <v>337</v>
      </c>
      <c r="C59" s="43" t="s">
        <v>97</v>
      </c>
      <c r="D59" s="43" t="s">
        <v>338</v>
      </c>
      <c r="E59" s="43" t="s">
        <v>339</v>
      </c>
      <c r="F59" s="43" t="s">
        <v>340</v>
      </c>
      <c r="G59" s="46" t="s">
        <v>28</v>
      </c>
      <c r="H59" s="44"/>
      <c r="I59" s="44"/>
      <c r="J59" s="44"/>
      <c r="K59" s="46" t="s">
        <v>28</v>
      </c>
      <c r="L59" s="44"/>
      <c r="M59" s="44"/>
      <c r="N59" s="44"/>
      <c r="O59" s="44"/>
      <c r="P59" s="44"/>
      <c r="Q59" s="44"/>
      <c r="R59" s="44"/>
    </row>
    <row r="60" spans="1:18" ht="57.6" customHeight="1" x14ac:dyDescent="0.25">
      <c r="A60" s="43" t="s">
        <v>341</v>
      </c>
      <c r="B60" s="43" t="s">
        <v>342</v>
      </c>
      <c r="C60" s="43" t="s">
        <v>343</v>
      </c>
      <c r="D60" s="43" t="s">
        <v>344</v>
      </c>
      <c r="E60" s="43" t="s">
        <v>345</v>
      </c>
      <c r="F60" s="43" t="s">
        <v>340</v>
      </c>
      <c r="G60" s="46" t="s">
        <v>28</v>
      </c>
      <c r="H60" s="44"/>
      <c r="I60" s="44"/>
      <c r="J60" s="44"/>
      <c r="K60" s="46" t="s">
        <v>28</v>
      </c>
      <c r="L60" s="44"/>
      <c r="M60" s="44"/>
      <c r="N60" s="44"/>
      <c r="O60" s="44"/>
      <c r="P60" s="44"/>
      <c r="Q60" s="44"/>
      <c r="R60" s="44"/>
    </row>
    <row r="61" spans="1:18" ht="57.6" customHeight="1" x14ac:dyDescent="0.25">
      <c r="A61" s="43" t="s">
        <v>346</v>
      </c>
      <c r="B61" s="43" t="s">
        <v>347</v>
      </c>
      <c r="C61" s="43" t="s">
        <v>348</v>
      </c>
      <c r="D61" s="43" t="s">
        <v>349</v>
      </c>
      <c r="E61" s="43" t="s">
        <v>350</v>
      </c>
      <c r="F61" s="43" t="s">
        <v>351</v>
      </c>
      <c r="G61" s="46" t="s">
        <v>28</v>
      </c>
      <c r="H61" s="44"/>
      <c r="I61" s="44"/>
      <c r="J61" s="44"/>
      <c r="K61" s="46" t="s">
        <v>28</v>
      </c>
      <c r="L61" s="44"/>
      <c r="M61" s="44"/>
      <c r="N61" s="44"/>
      <c r="O61" s="44"/>
      <c r="P61" s="44"/>
      <c r="Q61" s="44"/>
      <c r="R61" s="44"/>
    </row>
    <row r="62" spans="1:18" ht="43.2" customHeight="1" x14ac:dyDescent="0.25">
      <c r="A62" s="43" t="s">
        <v>352</v>
      </c>
      <c r="B62" s="43" t="s">
        <v>353</v>
      </c>
      <c r="C62" s="43" t="s">
        <v>354</v>
      </c>
      <c r="D62" s="43" t="s">
        <v>355</v>
      </c>
      <c r="E62" s="43" t="s">
        <v>356</v>
      </c>
      <c r="F62" s="43" t="s">
        <v>351</v>
      </c>
      <c r="G62" s="46" t="s">
        <v>28</v>
      </c>
      <c r="H62" s="44"/>
      <c r="I62" s="44"/>
      <c r="J62" s="44"/>
      <c r="K62" s="46" t="s">
        <v>28</v>
      </c>
      <c r="L62" s="44"/>
      <c r="M62" s="44"/>
      <c r="N62" s="44"/>
      <c r="O62" s="44"/>
      <c r="P62" s="44"/>
      <c r="Q62" s="44"/>
      <c r="R62" s="44"/>
    </row>
    <row r="63" spans="1:18" ht="43.2" customHeight="1" x14ac:dyDescent="0.25">
      <c r="A63" s="43" t="s">
        <v>357</v>
      </c>
      <c r="B63" s="43" t="s">
        <v>358</v>
      </c>
      <c r="C63" s="43" t="s">
        <v>359</v>
      </c>
      <c r="D63" s="43" t="s">
        <v>360</v>
      </c>
      <c r="E63" s="43" t="s">
        <v>361</v>
      </c>
      <c r="F63" s="43" t="s">
        <v>362</v>
      </c>
      <c r="G63" s="46" t="s">
        <v>28</v>
      </c>
      <c r="H63" s="44"/>
      <c r="I63" s="44"/>
      <c r="J63" s="44"/>
      <c r="K63" s="46" t="s">
        <v>28</v>
      </c>
      <c r="L63" s="44"/>
      <c r="M63" s="44"/>
      <c r="N63" s="44"/>
      <c r="O63" s="44"/>
      <c r="P63" s="44"/>
      <c r="Q63" s="44"/>
      <c r="R63" s="44"/>
    </row>
    <row r="64" spans="1:18" ht="57.6" customHeight="1" x14ac:dyDescent="0.25">
      <c r="A64" s="43" t="s">
        <v>363</v>
      </c>
      <c r="B64" s="43" t="s">
        <v>364</v>
      </c>
      <c r="C64" s="43" t="s">
        <v>365</v>
      </c>
      <c r="D64" s="43" t="s">
        <v>366</v>
      </c>
      <c r="E64" s="43" t="s">
        <v>367</v>
      </c>
      <c r="F64" s="43" t="s">
        <v>368</v>
      </c>
      <c r="G64" s="46" t="s">
        <v>28</v>
      </c>
      <c r="H64" s="44"/>
      <c r="I64" s="44"/>
      <c r="J64" s="44"/>
      <c r="K64" s="46" t="s">
        <v>28</v>
      </c>
      <c r="L64" s="44"/>
      <c r="M64" s="44"/>
      <c r="N64" s="44"/>
      <c r="O64" s="44"/>
      <c r="P64" s="44"/>
      <c r="Q64" s="44"/>
      <c r="R64" s="44"/>
    </row>
    <row r="65" spans="1:18" ht="43.2" customHeight="1" x14ac:dyDescent="0.25">
      <c r="A65" s="43" t="s">
        <v>369</v>
      </c>
      <c r="B65" s="43" t="s">
        <v>370</v>
      </c>
      <c r="C65" s="43" t="s">
        <v>371</v>
      </c>
      <c r="D65" s="43" t="s">
        <v>372</v>
      </c>
      <c r="E65" s="43" t="s">
        <v>373</v>
      </c>
      <c r="F65" s="43" t="s">
        <v>374</v>
      </c>
      <c r="G65" s="46" t="s">
        <v>28</v>
      </c>
      <c r="H65" s="44"/>
      <c r="I65" s="44"/>
      <c r="J65" s="44"/>
      <c r="K65" s="46" t="s">
        <v>28</v>
      </c>
      <c r="L65" s="44"/>
      <c r="M65" s="44"/>
      <c r="N65" s="44"/>
      <c r="O65" s="44"/>
      <c r="P65" s="44"/>
      <c r="Q65" s="44"/>
      <c r="R65" s="44"/>
    </row>
    <row r="66" spans="1:18" ht="57.6" customHeight="1" x14ac:dyDescent="0.25">
      <c r="A66" s="43" t="s">
        <v>375</v>
      </c>
      <c r="B66" s="43" t="s">
        <v>376</v>
      </c>
      <c r="C66" s="43" t="s">
        <v>377</v>
      </c>
      <c r="D66" s="43" t="s">
        <v>378</v>
      </c>
      <c r="E66" s="43" t="s">
        <v>379</v>
      </c>
      <c r="F66" s="43" t="s">
        <v>374</v>
      </c>
      <c r="G66" s="46" t="s">
        <v>28</v>
      </c>
      <c r="H66" s="44"/>
      <c r="I66" s="44"/>
      <c r="J66" s="44"/>
      <c r="K66" s="46" t="s">
        <v>28</v>
      </c>
      <c r="L66" s="44"/>
      <c r="M66" s="44"/>
      <c r="N66" s="44"/>
      <c r="O66" s="44"/>
      <c r="P66" s="44"/>
      <c r="Q66" s="44"/>
      <c r="R66" s="44"/>
    </row>
    <row r="67" spans="1:18" ht="43.2" customHeight="1" x14ac:dyDescent="0.25">
      <c r="A67" s="43" t="s">
        <v>380</v>
      </c>
      <c r="B67" s="43" t="s">
        <v>381</v>
      </c>
      <c r="C67" s="43" t="s">
        <v>382</v>
      </c>
      <c r="D67" s="43" t="s">
        <v>383</v>
      </c>
      <c r="E67" s="43" t="s">
        <v>384</v>
      </c>
      <c r="F67" s="43" t="s">
        <v>374</v>
      </c>
      <c r="G67" s="46" t="s">
        <v>28</v>
      </c>
      <c r="H67" s="44"/>
      <c r="I67" s="44"/>
      <c r="J67" s="44"/>
      <c r="K67" s="46" t="s">
        <v>28</v>
      </c>
      <c r="L67" s="44"/>
      <c r="M67" s="44"/>
      <c r="N67" s="44"/>
      <c r="O67" s="44"/>
      <c r="P67" s="44"/>
      <c r="Q67" s="44"/>
      <c r="R67" s="44"/>
    </row>
    <row r="68" spans="1:18" ht="57.6" customHeight="1" x14ac:dyDescent="0.25">
      <c r="A68" s="43" t="s">
        <v>385</v>
      </c>
      <c r="B68" s="43" t="s">
        <v>386</v>
      </c>
      <c r="C68" s="43" t="s">
        <v>387</v>
      </c>
      <c r="D68" s="43" t="s">
        <v>388</v>
      </c>
      <c r="E68" s="43" t="s">
        <v>389</v>
      </c>
      <c r="F68" s="43" t="s">
        <v>308</v>
      </c>
      <c r="G68" s="46" t="s">
        <v>28</v>
      </c>
      <c r="H68" s="44"/>
      <c r="I68" s="44"/>
      <c r="J68" s="44"/>
      <c r="K68" s="46" t="s">
        <v>28</v>
      </c>
      <c r="L68" s="44"/>
      <c r="M68" s="44"/>
      <c r="N68" s="44"/>
      <c r="O68" s="44"/>
      <c r="P68" s="44"/>
      <c r="Q68" s="44"/>
      <c r="R68" s="44"/>
    </row>
    <row r="69" spans="1:18" s="54" customFormat="1" ht="57.6" customHeight="1" x14ac:dyDescent="0.25">
      <c r="A69" s="55" t="s">
        <v>390</v>
      </c>
      <c r="B69" s="55" t="s">
        <v>391</v>
      </c>
      <c r="C69" s="56" t="s">
        <v>392</v>
      </c>
      <c r="D69" s="56" t="s">
        <v>393</v>
      </c>
      <c r="E69" s="56" t="s">
        <v>394</v>
      </c>
      <c r="F69" s="56" t="s">
        <v>308</v>
      </c>
      <c r="G69" s="46" t="s">
        <v>28</v>
      </c>
      <c r="H69" s="53"/>
      <c r="I69" s="53"/>
      <c r="J69" s="53"/>
      <c r="K69" s="46" t="s">
        <v>28</v>
      </c>
      <c r="L69" s="53"/>
      <c r="M69" s="53"/>
      <c r="N69" s="53"/>
      <c r="O69" s="53"/>
      <c r="P69" s="53"/>
      <c r="Q69" s="53"/>
      <c r="R69" s="53"/>
    </row>
    <row r="70" spans="1:18" ht="14.4" customHeight="1" x14ac:dyDescent="0.25">
      <c r="A70" s="58"/>
      <c r="B70" s="101" t="s">
        <v>395</v>
      </c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6"/>
    </row>
    <row r="71" spans="1:18" ht="16.8" customHeight="1" x14ac:dyDescent="0.25">
      <c r="A71" s="61"/>
      <c r="B71" s="103" t="s">
        <v>396</v>
      </c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6"/>
    </row>
    <row r="72" spans="1:18" ht="43.2" customHeight="1" x14ac:dyDescent="0.25">
      <c r="A72" s="43" t="s">
        <v>397</v>
      </c>
      <c r="B72" s="43" t="s">
        <v>398</v>
      </c>
      <c r="C72" s="43" t="s">
        <v>399</v>
      </c>
      <c r="D72" s="43" t="s">
        <v>400</v>
      </c>
      <c r="E72" s="43" t="s">
        <v>401</v>
      </c>
      <c r="F72" s="43"/>
      <c r="G72" s="46" t="s">
        <v>28</v>
      </c>
      <c r="H72" s="44"/>
      <c r="I72" s="44"/>
      <c r="J72" s="44"/>
      <c r="K72" s="46" t="s">
        <v>28</v>
      </c>
      <c r="L72" s="44"/>
      <c r="M72" s="44"/>
      <c r="N72" s="44"/>
      <c r="O72" s="44"/>
      <c r="P72" s="44"/>
      <c r="Q72" s="44"/>
      <c r="R72" s="44"/>
    </row>
    <row r="73" spans="1:18" ht="72" customHeight="1" x14ac:dyDescent="0.25">
      <c r="A73" s="43" t="s">
        <v>402</v>
      </c>
      <c r="B73" s="43" t="s">
        <v>403</v>
      </c>
      <c r="C73" s="43" t="s">
        <v>399</v>
      </c>
      <c r="D73" s="43" t="s">
        <v>404</v>
      </c>
      <c r="E73" s="43" t="s">
        <v>405</v>
      </c>
      <c r="F73" s="43"/>
      <c r="G73" s="46" t="s">
        <v>28</v>
      </c>
      <c r="H73" s="44"/>
      <c r="I73" s="44"/>
      <c r="J73" s="44"/>
      <c r="K73" s="46" t="s">
        <v>28</v>
      </c>
      <c r="L73" s="44"/>
      <c r="M73" s="44"/>
      <c r="N73" s="44"/>
      <c r="O73" s="44"/>
      <c r="P73" s="44"/>
      <c r="Q73" s="44"/>
      <c r="R73" s="44"/>
    </row>
    <row r="74" spans="1:18" ht="43.2" customHeight="1" x14ac:dyDescent="0.25">
      <c r="A74" s="43" t="s">
        <v>406</v>
      </c>
      <c r="B74" s="43" t="s">
        <v>407</v>
      </c>
      <c r="C74" s="43" t="s">
        <v>399</v>
      </c>
      <c r="D74" s="43" t="s">
        <v>408</v>
      </c>
      <c r="E74" s="43" t="s">
        <v>409</v>
      </c>
      <c r="F74" s="43"/>
      <c r="G74" s="46" t="s">
        <v>28</v>
      </c>
      <c r="H74" s="44"/>
      <c r="I74" s="44"/>
      <c r="J74" s="44"/>
      <c r="K74" s="46" t="s">
        <v>28</v>
      </c>
      <c r="L74" s="44"/>
      <c r="M74" s="44"/>
      <c r="N74" s="44"/>
      <c r="O74" s="44"/>
      <c r="P74" s="44"/>
      <c r="Q74" s="44"/>
      <c r="R74" s="44"/>
    </row>
    <row r="75" spans="1:18" ht="43.2" customHeight="1" x14ac:dyDescent="0.25">
      <c r="A75" s="43" t="s">
        <v>410</v>
      </c>
      <c r="B75" s="43" t="s">
        <v>411</v>
      </c>
      <c r="C75" s="43" t="s">
        <v>399</v>
      </c>
      <c r="D75" s="43" t="s">
        <v>412</v>
      </c>
      <c r="E75" s="43" t="s">
        <v>413</v>
      </c>
      <c r="F75" s="43"/>
      <c r="G75" s="46" t="s">
        <v>28</v>
      </c>
      <c r="H75" s="44"/>
      <c r="I75" s="44"/>
      <c r="J75" s="44"/>
      <c r="K75" s="46" t="s">
        <v>28</v>
      </c>
      <c r="L75" s="44"/>
      <c r="M75" s="44"/>
      <c r="N75" s="44"/>
      <c r="O75" s="44"/>
      <c r="P75" s="44"/>
      <c r="Q75" s="44"/>
      <c r="R75" s="44"/>
    </row>
    <row r="76" spans="1:18" ht="43.2" customHeight="1" x14ac:dyDescent="0.25">
      <c r="A76" s="43" t="s">
        <v>414</v>
      </c>
      <c r="B76" s="43" t="s">
        <v>415</v>
      </c>
      <c r="C76" s="43" t="s">
        <v>399</v>
      </c>
      <c r="D76" s="43" t="s">
        <v>416</v>
      </c>
      <c r="E76" s="43" t="s">
        <v>413</v>
      </c>
      <c r="F76" s="43"/>
      <c r="G76" s="46" t="s">
        <v>28</v>
      </c>
      <c r="H76" s="44"/>
      <c r="I76" s="44"/>
      <c r="J76" s="44"/>
      <c r="K76" s="46" t="s">
        <v>28</v>
      </c>
      <c r="L76" s="44"/>
      <c r="M76" s="44"/>
      <c r="N76" s="44"/>
      <c r="O76" s="44"/>
      <c r="P76" s="44"/>
      <c r="Q76" s="44"/>
      <c r="R76" s="44"/>
    </row>
    <row r="77" spans="1:18" ht="28.8" customHeight="1" x14ac:dyDescent="0.25">
      <c r="A77" s="43" t="s">
        <v>417</v>
      </c>
      <c r="B77" s="43" t="s">
        <v>418</v>
      </c>
      <c r="C77" s="43" t="s">
        <v>399</v>
      </c>
      <c r="D77" s="43" t="s">
        <v>419</v>
      </c>
      <c r="E77" s="43" t="s">
        <v>420</v>
      </c>
      <c r="F77" s="43"/>
      <c r="G77" s="46" t="s">
        <v>28</v>
      </c>
      <c r="H77" s="44"/>
      <c r="I77" s="44"/>
      <c r="J77" s="44"/>
      <c r="K77" s="46" t="s">
        <v>28</v>
      </c>
      <c r="L77" s="44"/>
      <c r="M77" s="44"/>
      <c r="N77" s="44"/>
      <c r="O77" s="44"/>
      <c r="P77" s="44"/>
      <c r="Q77" s="44"/>
      <c r="R77" s="44"/>
    </row>
    <row r="78" spans="1:18" ht="28.8" customHeight="1" x14ac:dyDescent="0.25">
      <c r="A78" s="43" t="s">
        <v>421</v>
      </c>
      <c r="B78" s="43" t="s">
        <v>422</v>
      </c>
      <c r="C78" s="43" t="s">
        <v>399</v>
      </c>
      <c r="D78" s="43" t="s">
        <v>423</v>
      </c>
      <c r="E78" s="43" t="s">
        <v>424</v>
      </c>
      <c r="F78" s="43"/>
      <c r="G78" s="46" t="s">
        <v>28</v>
      </c>
      <c r="H78" s="44"/>
      <c r="I78" s="44"/>
      <c r="J78" s="44"/>
      <c r="K78" s="46" t="s">
        <v>28</v>
      </c>
      <c r="L78" s="44"/>
      <c r="M78" s="44"/>
      <c r="N78" s="44"/>
      <c r="O78" s="44"/>
      <c r="P78" s="44"/>
      <c r="Q78" s="44"/>
      <c r="R78" s="44"/>
    </row>
    <row r="79" spans="1:18" s="65" customFormat="1" ht="40.799999999999997" customHeight="1" x14ac:dyDescent="0.25">
      <c r="A79" s="48" t="s">
        <v>425</v>
      </c>
      <c r="B79" s="48" t="s">
        <v>426</v>
      </c>
      <c r="C79" s="64" t="s">
        <v>399</v>
      </c>
      <c r="D79" s="64" t="s">
        <v>427</v>
      </c>
      <c r="E79" s="64" t="s">
        <v>424</v>
      </c>
      <c r="F79" s="64"/>
      <c r="G79" s="46" t="s">
        <v>28</v>
      </c>
      <c r="H79" s="64"/>
      <c r="I79" s="64"/>
      <c r="J79" s="64"/>
      <c r="K79" s="46" t="s">
        <v>28</v>
      </c>
      <c r="L79" s="64"/>
      <c r="M79" s="64"/>
      <c r="N79" s="64"/>
      <c r="O79" s="64"/>
      <c r="P79" s="64"/>
      <c r="Q79" s="64"/>
      <c r="R79" s="64"/>
    </row>
    <row r="80" spans="1:18" ht="18" customHeight="1" x14ac:dyDescent="0.25">
      <c r="A80" s="61"/>
      <c r="B80" s="103" t="s">
        <v>428</v>
      </c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6"/>
    </row>
    <row r="81" spans="1:18" ht="43.2" customHeight="1" x14ac:dyDescent="0.25">
      <c r="A81" s="43" t="s">
        <v>429</v>
      </c>
      <c r="B81" s="43" t="s">
        <v>430</v>
      </c>
      <c r="C81" s="43" t="s">
        <v>399</v>
      </c>
      <c r="D81" s="43" t="s">
        <v>431</v>
      </c>
      <c r="E81" s="43" t="s">
        <v>432</v>
      </c>
      <c r="F81" s="43"/>
      <c r="G81" s="46" t="s">
        <v>28</v>
      </c>
      <c r="H81" s="44"/>
      <c r="I81" s="44"/>
      <c r="J81" s="44"/>
      <c r="K81" s="46" t="s">
        <v>28</v>
      </c>
      <c r="L81" s="44"/>
      <c r="M81" s="44"/>
      <c r="N81" s="44"/>
      <c r="O81" s="44"/>
      <c r="P81" s="44"/>
      <c r="Q81" s="44"/>
      <c r="R81" s="44"/>
    </row>
    <row r="82" spans="1:18" ht="57.6" customHeight="1" x14ac:dyDescent="0.25">
      <c r="A82" s="43" t="s">
        <v>433</v>
      </c>
      <c r="B82" s="43" t="s">
        <v>434</v>
      </c>
      <c r="C82" s="43" t="s">
        <v>399</v>
      </c>
      <c r="D82" s="43" t="s">
        <v>435</v>
      </c>
      <c r="E82" s="43" t="s">
        <v>432</v>
      </c>
      <c r="F82" s="43"/>
      <c r="G82" s="46" t="s">
        <v>28</v>
      </c>
      <c r="H82" s="44"/>
      <c r="I82" s="44"/>
      <c r="J82" s="44"/>
      <c r="K82" s="46" t="s">
        <v>28</v>
      </c>
      <c r="L82" s="44"/>
      <c r="M82" s="44"/>
      <c r="N82" s="44"/>
      <c r="O82" s="44"/>
      <c r="P82" s="44"/>
      <c r="Q82" s="44"/>
      <c r="R82" s="44"/>
    </row>
    <row r="83" spans="1:18" ht="57.6" customHeight="1" x14ac:dyDescent="0.25">
      <c r="A83" s="43" t="s">
        <v>436</v>
      </c>
      <c r="B83" s="43" t="s">
        <v>437</v>
      </c>
      <c r="C83" s="43" t="s">
        <v>399</v>
      </c>
      <c r="D83" s="43" t="s">
        <v>438</v>
      </c>
      <c r="E83" s="43" t="s">
        <v>439</v>
      </c>
      <c r="F83" s="43"/>
      <c r="G83" s="46" t="s">
        <v>28</v>
      </c>
      <c r="H83" s="44"/>
      <c r="I83" s="44"/>
      <c r="J83" s="44"/>
      <c r="K83" s="46" t="s">
        <v>28</v>
      </c>
      <c r="L83" s="44"/>
      <c r="M83" s="44"/>
      <c r="N83" s="44"/>
      <c r="O83" s="44"/>
      <c r="P83" s="44"/>
      <c r="Q83" s="44"/>
      <c r="R83" s="44"/>
    </row>
    <row r="84" spans="1:18" ht="57.6" customHeight="1" x14ac:dyDescent="0.25">
      <c r="A84" s="43" t="s">
        <v>440</v>
      </c>
      <c r="B84" s="43" t="s">
        <v>441</v>
      </c>
      <c r="C84" s="43" t="s">
        <v>399</v>
      </c>
      <c r="D84" s="43" t="s">
        <v>442</v>
      </c>
      <c r="E84" s="43" t="s">
        <v>443</v>
      </c>
      <c r="F84" s="43"/>
      <c r="G84" s="46" t="s">
        <v>28</v>
      </c>
      <c r="H84" s="44"/>
      <c r="I84" s="44"/>
      <c r="J84" s="44"/>
      <c r="K84" s="46" t="s">
        <v>28</v>
      </c>
      <c r="L84" s="44"/>
      <c r="M84" s="44"/>
      <c r="N84" s="44"/>
      <c r="O84" s="44"/>
      <c r="P84" s="44"/>
      <c r="Q84" s="44"/>
      <c r="R84" s="44"/>
    </row>
    <row r="85" spans="1:18" ht="57.6" customHeight="1" x14ac:dyDescent="0.25">
      <c r="A85" s="43" t="s">
        <v>444</v>
      </c>
      <c r="B85" s="43" t="s">
        <v>445</v>
      </c>
      <c r="C85" s="43" t="s">
        <v>399</v>
      </c>
      <c r="D85" s="43" t="s">
        <v>446</v>
      </c>
      <c r="E85" s="43" t="s">
        <v>447</v>
      </c>
      <c r="F85" s="43"/>
      <c r="G85" s="46" t="s">
        <v>28</v>
      </c>
      <c r="H85" s="44"/>
      <c r="I85" s="44"/>
      <c r="J85" s="44"/>
      <c r="K85" s="46" t="s">
        <v>28</v>
      </c>
      <c r="L85" s="44"/>
      <c r="M85" s="44"/>
      <c r="N85" s="44"/>
      <c r="O85" s="44"/>
      <c r="P85" s="44"/>
      <c r="Q85" s="44"/>
      <c r="R85" s="44"/>
    </row>
    <row r="86" spans="1:18" ht="57.6" customHeight="1" x14ac:dyDescent="0.25">
      <c r="A86" s="43" t="s">
        <v>448</v>
      </c>
      <c r="B86" s="43" t="s">
        <v>449</v>
      </c>
      <c r="C86" s="43" t="s">
        <v>399</v>
      </c>
      <c r="D86" s="43" t="s">
        <v>450</v>
      </c>
      <c r="E86" s="43" t="s">
        <v>451</v>
      </c>
      <c r="F86" s="43"/>
      <c r="G86" s="46" t="s">
        <v>28</v>
      </c>
      <c r="H86" s="44"/>
      <c r="I86" s="44"/>
      <c r="J86" s="44"/>
      <c r="K86" s="46" t="s">
        <v>28</v>
      </c>
      <c r="L86" s="44"/>
      <c r="M86" s="44"/>
      <c r="N86" s="44"/>
      <c r="O86" s="44"/>
      <c r="P86" s="44"/>
      <c r="Q86" s="44"/>
      <c r="R86" s="44"/>
    </row>
    <row r="87" spans="1:18" ht="57.6" customHeight="1" x14ac:dyDescent="0.25">
      <c r="A87" s="43" t="s">
        <v>452</v>
      </c>
      <c r="B87" s="43" t="s">
        <v>453</v>
      </c>
      <c r="C87" s="43" t="s">
        <v>399</v>
      </c>
      <c r="D87" s="43" t="s">
        <v>454</v>
      </c>
      <c r="E87" s="43" t="s">
        <v>455</v>
      </c>
      <c r="F87" s="43"/>
      <c r="G87" s="46" t="s">
        <v>28</v>
      </c>
      <c r="H87" s="44"/>
      <c r="I87" s="44"/>
      <c r="J87" s="44"/>
      <c r="K87" s="46" t="s">
        <v>28</v>
      </c>
      <c r="L87" s="44"/>
      <c r="M87" s="44"/>
      <c r="N87" s="44"/>
      <c r="O87" s="44"/>
      <c r="P87" s="44"/>
      <c r="Q87" s="44"/>
      <c r="R87" s="44"/>
    </row>
    <row r="88" spans="1:18" s="65" customFormat="1" ht="65.400000000000006" customHeight="1" x14ac:dyDescent="0.25">
      <c r="A88" s="48" t="s">
        <v>456</v>
      </c>
      <c r="B88" s="48" t="s">
        <v>457</v>
      </c>
      <c r="C88" s="64" t="s">
        <v>399</v>
      </c>
      <c r="D88" s="64" t="s">
        <v>458</v>
      </c>
      <c r="E88" s="64" t="s">
        <v>459</v>
      </c>
      <c r="F88" s="64"/>
      <c r="G88" s="64" t="s">
        <v>28</v>
      </c>
      <c r="H88" s="64"/>
      <c r="I88" s="64"/>
      <c r="J88" s="64"/>
      <c r="K88" s="64" t="s">
        <v>28</v>
      </c>
      <c r="L88" s="64"/>
      <c r="M88" s="64"/>
      <c r="N88" s="64"/>
      <c r="O88" s="64"/>
      <c r="P88" s="64"/>
      <c r="Q88" s="64"/>
      <c r="R88" s="64"/>
    </row>
    <row r="89" spans="1:18" ht="14.4" customHeight="1" x14ac:dyDescent="0.25">
      <c r="A89" s="60"/>
      <c r="B89" s="108" t="s">
        <v>460</v>
      </c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6"/>
    </row>
    <row r="90" spans="1:18" ht="19.2" customHeight="1" x14ac:dyDescent="0.25">
      <c r="A90" s="58"/>
      <c r="B90" s="101" t="s">
        <v>82</v>
      </c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6"/>
    </row>
    <row r="91" spans="1:18" ht="57.6" customHeight="1" x14ac:dyDescent="0.25">
      <c r="A91" s="43" t="s">
        <v>461</v>
      </c>
      <c r="B91" s="43" t="s">
        <v>462</v>
      </c>
      <c r="C91" s="43" t="s">
        <v>463</v>
      </c>
      <c r="D91" s="43" t="s">
        <v>464</v>
      </c>
      <c r="E91" s="43" t="s">
        <v>465</v>
      </c>
      <c r="F91" s="43" t="s">
        <v>88</v>
      </c>
      <c r="G91" s="46" t="s">
        <v>28</v>
      </c>
      <c r="H91" s="45"/>
      <c r="I91" s="45"/>
      <c r="J91" s="45"/>
      <c r="K91" s="46" t="s">
        <v>28</v>
      </c>
      <c r="L91" s="45"/>
      <c r="M91" s="45"/>
      <c r="N91" s="45"/>
      <c r="O91" s="45"/>
      <c r="P91" s="45"/>
      <c r="Q91" s="45"/>
      <c r="R91" s="45"/>
    </row>
    <row r="92" spans="1:18" ht="66" customHeight="1" x14ac:dyDescent="0.25">
      <c r="A92" s="43" t="s">
        <v>466</v>
      </c>
      <c r="B92" s="43" t="s">
        <v>467</v>
      </c>
      <c r="C92" s="43" t="s">
        <v>468</v>
      </c>
      <c r="D92" s="43" t="s">
        <v>469</v>
      </c>
      <c r="E92" s="43" t="s">
        <v>470</v>
      </c>
      <c r="F92" s="43"/>
      <c r="G92" s="46" t="s">
        <v>28</v>
      </c>
      <c r="H92" s="45"/>
      <c r="I92" s="45"/>
      <c r="J92" s="45"/>
      <c r="K92" s="46" t="s">
        <v>28</v>
      </c>
      <c r="L92" s="45"/>
      <c r="M92" s="45"/>
      <c r="N92" s="45"/>
      <c r="O92" s="45"/>
      <c r="P92" s="45"/>
      <c r="Q92" s="45"/>
      <c r="R92" s="45"/>
    </row>
    <row r="93" spans="1:18" ht="14.4" customHeight="1" x14ac:dyDescent="0.25">
      <c r="A93" s="43" t="s">
        <v>471</v>
      </c>
      <c r="B93" s="43" t="s">
        <v>472</v>
      </c>
      <c r="C93" s="43" t="s">
        <v>473</v>
      </c>
      <c r="D93" s="43" t="s">
        <v>474</v>
      </c>
      <c r="E93" s="43" t="s">
        <v>475</v>
      </c>
      <c r="F93" s="43"/>
      <c r="G93" s="46" t="s">
        <v>28</v>
      </c>
      <c r="H93" s="45"/>
      <c r="I93" s="45"/>
      <c r="J93" s="45"/>
      <c r="K93" s="46" t="s">
        <v>28</v>
      </c>
      <c r="L93" s="45"/>
      <c r="M93" s="45"/>
      <c r="N93" s="45"/>
      <c r="O93" s="45"/>
      <c r="P93" s="45"/>
      <c r="Q93" s="45"/>
      <c r="R93" s="45"/>
    </row>
    <row r="94" spans="1:18" ht="18.600000000000001" customHeight="1" x14ac:dyDescent="0.25">
      <c r="A94" s="43" t="s">
        <v>476</v>
      </c>
      <c r="B94" s="43" t="s">
        <v>477</v>
      </c>
      <c r="C94" s="43" t="s">
        <v>473</v>
      </c>
      <c r="D94" s="43" t="s">
        <v>478</v>
      </c>
      <c r="E94" s="43" t="s">
        <v>479</v>
      </c>
      <c r="F94" s="43"/>
      <c r="G94" s="46" t="s">
        <v>28</v>
      </c>
      <c r="H94" s="45"/>
      <c r="I94" s="45"/>
      <c r="J94" s="45"/>
      <c r="K94" s="46" t="s">
        <v>28</v>
      </c>
      <c r="L94" s="45"/>
      <c r="M94" s="45"/>
      <c r="N94" s="45"/>
      <c r="O94" s="45"/>
      <c r="P94" s="45"/>
      <c r="Q94" s="45"/>
      <c r="R94" s="45"/>
    </row>
    <row r="95" spans="1:18" s="54" customFormat="1" ht="57.6" customHeight="1" x14ac:dyDescent="0.25">
      <c r="A95" s="48" t="s">
        <v>480</v>
      </c>
      <c r="B95" s="48" t="s">
        <v>481</v>
      </c>
      <c r="C95" s="64" t="s">
        <v>482</v>
      </c>
      <c r="D95" s="64" t="s">
        <v>483</v>
      </c>
      <c r="E95" s="64" t="s">
        <v>484</v>
      </c>
      <c r="F95" s="64" t="s">
        <v>143</v>
      </c>
      <c r="G95" s="46" t="s">
        <v>28</v>
      </c>
      <c r="H95" s="45"/>
      <c r="I95" s="45"/>
      <c r="J95" s="45"/>
      <c r="K95" s="46" t="s">
        <v>28</v>
      </c>
      <c r="L95" s="53"/>
      <c r="M95" s="53"/>
      <c r="N95" s="53"/>
      <c r="O95" s="53"/>
      <c r="P95" s="53"/>
      <c r="Q95" s="53"/>
      <c r="R95" s="53"/>
    </row>
    <row r="96" spans="1:18" ht="19.8" customHeight="1" x14ac:dyDescent="0.25">
      <c r="A96" s="58"/>
      <c r="B96" s="101" t="s">
        <v>150</v>
      </c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6"/>
    </row>
    <row r="97" spans="1:18" ht="28.8" customHeight="1" x14ac:dyDescent="0.25">
      <c r="A97" s="43" t="s">
        <v>485</v>
      </c>
      <c r="B97" s="43" t="s">
        <v>486</v>
      </c>
      <c r="C97" s="43" t="s">
        <v>463</v>
      </c>
      <c r="D97" s="43" t="s">
        <v>487</v>
      </c>
      <c r="E97" s="43" t="s">
        <v>488</v>
      </c>
      <c r="F97" s="43" t="s">
        <v>489</v>
      </c>
      <c r="G97" s="46" t="s">
        <v>28</v>
      </c>
      <c r="H97" s="45"/>
      <c r="I97" s="45"/>
      <c r="J97" s="45"/>
      <c r="K97" s="46" t="s">
        <v>28</v>
      </c>
      <c r="L97" s="45"/>
      <c r="M97" s="45"/>
      <c r="N97" s="45"/>
      <c r="O97" s="45"/>
      <c r="P97" s="45"/>
      <c r="Q97" s="45"/>
      <c r="R97" s="45"/>
    </row>
    <row r="98" spans="1:18" ht="28.8" customHeight="1" x14ac:dyDescent="0.25">
      <c r="A98" s="43" t="s">
        <v>490</v>
      </c>
      <c r="B98" s="43" t="s">
        <v>491</v>
      </c>
      <c r="C98" s="43" t="s">
        <v>492</v>
      </c>
      <c r="D98" s="43" t="s">
        <v>493</v>
      </c>
      <c r="E98" s="43" t="s">
        <v>494</v>
      </c>
      <c r="F98" s="43"/>
      <c r="G98" s="46" t="s">
        <v>28</v>
      </c>
      <c r="H98" s="45"/>
      <c r="I98" s="45"/>
      <c r="J98" s="45"/>
      <c r="K98" s="46" t="s">
        <v>28</v>
      </c>
      <c r="L98" s="45"/>
      <c r="M98" s="45"/>
      <c r="N98" s="45"/>
      <c r="O98" s="45"/>
      <c r="P98" s="45"/>
      <c r="Q98" s="45"/>
      <c r="R98" s="45"/>
    </row>
    <row r="99" spans="1:18" ht="72" customHeight="1" x14ac:dyDescent="0.25">
      <c r="A99" s="43" t="s">
        <v>495</v>
      </c>
      <c r="B99" s="43" t="s">
        <v>496</v>
      </c>
      <c r="C99" s="43" t="s">
        <v>473</v>
      </c>
      <c r="D99" s="43" t="s">
        <v>497</v>
      </c>
      <c r="E99" s="43" t="s">
        <v>498</v>
      </c>
      <c r="F99" s="43"/>
      <c r="G99" s="46" t="s">
        <v>28</v>
      </c>
      <c r="H99" s="45"/>
      <c r="I99" s="45"/>
      <c r="J99" s="45"/>
      <c r="K99" s="46" t="s">
        <v>28</v>
      </c>
      <c r="L99" s="45"/>
      <c r="M99" s="45"/>
      <c r="N99" s="45"/>
      <c r="O99" s="45"/>
      <c r="P99" s="45"/>
      <c r="Q99" s="45"/>
      <c r="R99" s="45"/>
    </row>
    <row r="100" spans="1:18" ht="43.2" customHeight="1" x14ac:dyDescent="0.25">
      <c r="A100" s="43" t="s">
        <v>499</v>
      </c>
      <c r="B100" s="43" t="s">
        <v>500</v>
      </c>
      <c r="C100" s="43" t="s">
        <v>501</v>
      </c>
      <c r="D100" s="43" t="s">
        <v>502</v>
      </c>
      <c r="E100" s="43" t="s">
        <v>503</v>
      </c>
      <c r="F100" s="43" t="s">
        <v>504</v>
      </c>
      <c r="G100" s="46" t="s">
        <v>28</v>
      </c>
      <c r="H100" s="45"/>
      <c r="I100" s="45"/>
      <c r="J100" s="45"/>
      <c r="K100" s="46" t="s">
        <v>28</v>
      </c>
      <c r="L100" s="45"/>
      <c r="M100" s="45"/>
      <c r="N100" s="45"/>
      <c r="O100" s="45"/>
      <c r="P100" s="45"/>
      <c r="Q100" s="45"/>
      <c r="R100" s="45"/>
    </row>
    <row r="101" spans="1:18" ht="43.8" customHeight="1" x14ac:dyDescent="0.25">
      <c r="A101" s="43" t="s">
        <v>505</v>
      </c>
      <c r="B101" s="43" t="s">
        <v>506</v>
      </c>
      <c r="C101" s="43" t="s">
        <v>473</v>
      </c>
      <c r="D101" s="43" t="s">
        <v>507</v>
      </c>
      <c r="E101" s="43" t="s">
        <v>508</v>
      </c>
      <c r="F101" s="43" t="s">
        <v>509</v>
      </c>
      <c r="G101" s="46" t="s">
        <v>28</v>
      </c>
      <c r="H101" s="45"/>
      <c r="I101" s="45"/>
      <c r="J101" s="45"/>
      <c r="K101" s="46" t="s">
        <v>28</v>
      </c>
      <c r="L101" s="45"/>
      <c r="M101" s="45"/>
      <c r="N101" s="45"/>
      <c r="O101" s="45"/>
      <c r="P101" s="45"/>
      <c r="Q101" s="45"/>
      <c r="R101" s="45"/>
    </row>
    <row r="102" spans="1:18" ht="28.8" customHeight="1" x14ac:dyDescent="0.25">
      <c r="A102" s="43" t="s">
        <v>510</v>
      </c>
      <c r="B102" s="43" t="s">
        <v>511</v>
      </c>
      <c r="C102" s="43" t="s">
        <v>512</v>
      </c>
      <c r="D102" s="43" t="s">
        <v>513</v>
      </c>
      <c r="E102" s="43" t="s">
        <v>514</v>
      </c>
      <c r="F102" s="43" t="s">
        <v>509</v>
      </c>
      <c r="G102" s="46" t="s">
        <v>28</v>
      </c>
      <c r="H102" s="45"/>
      <c r="I102" s="45"/>
      <c r="J102" s="45"/>
      <c r="K102" s="46" t="s">
        <v>28</v>
      </c>
      <c r="L102" s="45"/>
      <c r="M102" s="45"/>
      <c r="N102" s="45"/>
      <c r="O102" s="45"/>
      <c r="P102" s="45"/>
      <c r="Q102" s="45"/>
      <c r="R102" s="45"/>
    </row>
    <row r="103" spans="1:18" ht="57.6" customHeight="1" x14ac:dyDescent="0.25">
      <c r="A103" s="43" t="s">
        <v>515</v>
      </c>
      <c r="B103" s="43" t="s">
        <v>516</v>
      </c>
      <c r="C103" s="43" t="s">
        <v>517</v>
      </c>
      <c r="D103" s="43" t="s">
        <v>518</v>
      </c>
      <c r="E103" s="43" t="s">
        <v>519</v>
      </c>
      <c r="F103" s="43" t="s">
        <v>509</v>
      </c>
      <c r="G103" s="46" t="s">
        <v>28</v>
      </c>
      <c r="H103" s="45"/>
      <c r="I103" s="45"/>
      <c r="J103" s="45"/>
      <c r="K103" s="46" t="s">
        <v>28</v>
      </c>
      <c r="L103" s="45"/>
      <c r="M103" s="45"/>
      <c r="N103" s="45"/>
      <c r="O103" s="45"/>
      <c r="P103" s="45"/>
      <c r="Q103" s="45"/>
      <c r="R103" s="45"/>
    </row>
    <row r="104" spans="1:18" ht="57.6" customHeight="1" x14ac:dyDescent="0.25">
      <c r="A104" s="43" t="s">
        <v>520</v>
      </c>
      <c r="B104" s="43" t="s">
        <v>521</v>
      </c>
      <c r="C104" s="43" t="s">
        <v>517</v>
      </c>
      <c r="D104" s="43" t="s">
        <v>522</v>
      </c>
      <c r="E104" s="43" t="s">
        <v>523</v>
      </c>
      <c r="F104" s="43" t="s">
        <v>509</v>
      </c>
      <c r="G104" s="46" t="s">
        <v>28</v>
      </c>
      <c r="H104" s="45"/>
      <c r="I104" s="45"/>
      <c r="J104" s="45"/>
      <c r="K104" s="46" t="s">
        <v>28</v>
      </c>
      <c r="L104" s="45"/>
      <c r="M104" s="45"/>
      <c r="N104" s="45"/>
      <c r="O104" s="45"/>
      <c r="P104" s="45"/>
      <c r="Q104" s="45"/>
      <c r="R104" s="45"/>
    </row>
    <row r="105" spans="1:18" ht="28.8" customHeight="1" x14ac:dyDescent="0.25">
      <c r="A105" s="43" t="s">
        <v>524</v>
      </c>
      <c r="B105" s="43" t="s">
        <v>525</v>
      </c>
      <c r="C105" s="43" t="s">
        <v>526</v>
      </c>
      <c r="D105" s="43" t="s">
        <v>527</v>
      </c>
      <c r="E105" s="43" t="s">
        <v>528</v>
      </c>
      <c r="F105" s="43" t="s">
        <v>509</v>
      </c>
      <c r="G105" s="46" t="s">
        <v>28</v>
      </c>
      <c r="H105" s="45"/>
      <c r="I105" s="45"/>
      <c r="J105" s="45"/>
      <c r="K105" s="46" t="s">
        <v>28</v>
      </c>
      <c r="L105" s="45"/>
      <c r="M105" s="45"/>
      <c r="N105" s="45"/>
      <c r="O105" s="45"/>
      <c r="P105" s="45"/>
      <c r="Q105" s="45"/>
      <c r="R105" s="45"/>
    </row>
    <row r="106" spans="1:18" ht="28.8" customHeight="1" x14ac:dyDescent="0.25">
      <c r="A106" s="43" t="s">
        <v>529</v>
      </c>
      <c r="B106" s="43" t="s">
        <v>530</v>
      </c>
      <c r="C106" s="43" t="s">
        <v>473</v>
      </c>
      <c r="D106" s="43" t="s">
        <v>531</v>
      </c>
      <c r="E106" s="43" t="s">
        <v>532</v>
      </c>
      <c r="F106" s="43" t="s">
        <v>259</v>
      </c>
      <c r="G106" s="46" t="s">
        <v>28</v>
      </c>
      <c r="H106" s="45"/>
      <c r="I106" s="45"/>
      <c r="J106" s="45"/>
      <c r="K106" s="46" t="s">
        <v>28</v>
      </c>
      <c r="L106" s="45"/>
      <c r="M106" s="45"/>
      <c r="N106" s="45"/>
      <c r="O106" s="45"/>
      <c r="P106" s="45"/>
      <c r="Q106" s="45"/>
      <c r="R106" s="45"/>
    </row>
    <row r="107" spans="1:18" ht="43.2" customHeight="1" x14ac:dyDescent="0.25">
      <c r="A107" s="43" t="s">
        <v>533</v>
      </c>
      <c r="B107" s="43" t="s">
        <v>534</v>
      </c>
      <c r="C107" s="43" t="s">
        <v>473</v>
      </c>
      <c r="D107" s="43" t="s">
        <v>535</v>
      </c>
      <c r="E107" s="43" t="s">
        <v>536</v>
      </c>
      <c r="F107" s="43" t="s">
        <v>259</v>
      </c>
      <c r="G107" s="46" t="s">
        <v>28</v>
      </c>
      <c r="H107" s="45"/>
      <c r="I107" s="45"/>
      <c r="J107" s="45"/>
      <c r="K107" s="46" t="s">
        <v>28</v>
      </c>
      <c r="L107" s="45"/>
      <c r="M107" s="45"/>
      <c r="N107" s="45"/>
      <c r="O107" s="45"/>
      <c r="P107" s="45"/>
      <c r="Q107" s="45"/>
      <c r="R107" s="45"/>
    </row>
    <row r="108" spans="1:18" ht="28.8" customHeight="1" x14ac:dyDescent="0.25">
      <c r="A108" s="43" t="s">
        <v>537</v>
      </c>
      <c r="B108" s="43" t="s">
        <v>538</v>
      </c>
      <c r="C108" s="43" t="s">
        <v>473</v>
      </c>
      <c r="D108" s="43" t="s">
        <v>539</v>
      </c>
      <c r="E108" s="43" t="s">
        <v>540</v>
      </c>
      <c r="F108" s="43" t="s">
        <v>117</v>
      </c>
      <c r="G108" s="46" t="s">
        <v>28</v>
      </c>
      <c r="H108" s="45"/>
      <c r="I108" s="45"/>
      <c r="J108" s="45"/>
      <c r="K108" s="46" t="s">
        <v>28</v>
      </c>
      <c r="L108" s="45"/>
      <c r="M108" s="45"/>
      <c r="N108" s="45"/>
      <c r="O108" s="45"/>
      <c r="P108" s="45"/>
      <c r="Q108" s="45"/>
      <c r="R108" s="45"/>
    </row>
    <row r="109" spans="1:18" ht="28.8" customHeight="1" x14ac:dyDescent="0.25">
      <c r="A109" s="43" t="s">
        <v>541</v>
      </c>
      <c r="B109" s="43" t="s">
        <v>542</v>
      </c>
      <c r="C109" s="43" t="s">
        <v>473</v>
      </c>
      <c r="D109" s="43" t="s">
        <v>543</v>
      </c>
      <c r="E109" s="43" t="s">
        <v>544</v>
      </c>
      <c r="F109" s="43" t="s">
        <v>259</v>
      </c>
      <c r="G109" s="46" t="s">
        <v>28</v>
      </c>
      <c r="H109" s="45"/>
      <c r="I109" s="45"/>
      <c r="J109" s="45"/>
      <c r="K109" s="46" t="s">
        <v>28</v>
      </c>
      <c r="L109" s="45"/>
      <c r="M109" s="45"/>
      <c r="N109" s="45"/>
      <c r="O109" s="45"/>
      <c r="P109" s="45"/>
      <c r="Q109" s="45"/>
      <c r="R109" s="45"/>
    </row>
    <row r="110" spans="1:18" ht="28.8" customHeight="1" x14ac:dyDescent="0.25">
      <c r="A110" s="43" t="s">
        <v>545</v>
      </c>
      <c r="B110" s="43" t="s">
        <v>546</v>
      </c>
      <c r="C110" s="43" t="s">
        <v>473</v>
      </c>
      <c r="D110" s="43" t="s">
        <v>547</v>
      </c>
      <c r="E110" s="43" t="s">
        <v>548</v>
      </c>
      <c r="F110" s="43" t="s">
        <v>259</v>
      </c>
      <c r="G110" s="46" t="s">
        <v>28</v>
      </c>
      <c r="H110" s="45"/>
      <c r="I110" s="45"/>
      <c r="J110" s="45"/>
      <c r="K110" s="46" t="s">
        <v>28</v>
      </c>
      <c r="L110" s="45"/>
      <c r="M110" s="45"/>
      <c r="N110" s="45"/>
      <c r="O110" s="45"/>
      <c r="P110" s="45"/>
      <c r="Q110" s="45"/>
      <c r="R110" s="45"/>
    </row>
    <row r="111" spans="1:18" ht="28.8" customHeight="1" x14ac:dyDescent="0.25">
      <c r="A111" s="43" t="s">
        <v>549</v>
      </c>
      <c r="B111" s="43" t="s">
        <v>550</v>
      </c>
      <c r="C111" s="43" t="s">
        <v>473</v>
      </c>
      <c r="D111" s="43" t="s">
        <v>551</v>
      </c>
      <c r="E111" s="43" t="s">
        <v>552</v>
      </c>
      <c r="F111" s="43" t="s">
        <v>259</v>
      </c>
      <c r="G111" s="46" t="s">
        <v>28</v>
      </c>
      <c r="H111" s="45"/>
      <c r="I111" s="45"/>
      <c r="J111" s="45"/>
      <c r="K111" s="46" t="s">
        <v>28</v>
      </c>
      <c r="L111" s="45"/>
      <c r="M111" s="45"/>
      <c r="N111" s="45"/>
      <c r="O111" s="45"/>
      <c r="P111" s="45"/>
      <c r="Q111" s="45"/>
      <c r="R111" s="45"/>
    </row>
    <row r="112" spans="1:18" ht="43.2" customHeight="1" x14ac:dyDescent="0.25">
      <c r="A112" s="43" t="s">
        <v>553</v>
      </c>
      <c r="B112" s="43" t="s">
        <v>554</v>
      </c>
      <c r="C112" s="43" t="s">
        <v>473</v>
      </c>
      <c r="D112" s="43" t="s">
        <v>555</v>
      </c>
      <c r="E112" s="43" t="s">
        <v>556</v>
      </c>
      <c r="F112" s="43" t="s">
        <v>259</v>
      </c>
      <c r="G112" s="46" t="s">
        <v>28</v>
      </c>
      <c r="H112" s="45"/>
      <c r="I112" s="45"/>
      <c r="J112" s="45"/>
      <c r="K112" s="46" t="s">
        <v>28</v>
      </c>
      <c r="L112" s="45"/>
      <c r="M112" s="45"/>
      <c r="N112" s="45"/>
      <c r="O112" s="45"/>
      <c r="P112" s="45"/>
      <c r="Q112" s="45"/>
      <c r="R112" s="45"/>
    </row>
    <row r="113" spans="1:18" ht="28.8" customHeight="1" x14ac:dyDescent="0.25">
      <c r="A113" s="43" t="s">
        <v>557</v>
      </c>
      <c r="B113" s="43" t="s">
        <v>558</v>
      </c>
      <c r="C113" s="43" t="s">
        <v>473</v>
      </c>
      <c r="D113" s="43" t="s">
        <v>559</v>
      </c>
      <c r="E113" s="43" t="s">
        <v>560</v>
      </c>
      <c r="F113" s="43" t="s">
        <v>561</v>
      </c>
      <c r="G113" s="46" t="s">
        <v>28</v>
      </c>
      <c r="H113" s="45"/>
      <c r="I113" s="45"/>
      <c r="J113" s="45"/>
      <c r="K113" s="46" t="s">
        <v>28</v>
      </c>
      <c r="L113" s="45"/>
      <c r="M113" s="45"/>
      <c r="N113" s="45"/>
      <c r="O113" s="45"/>
      <c r="P113" s="45"/>
      <c r="Q113" s="45"/>
      <c r="R113" s="45"/>
    </row>
    <row r="114" spans="1:18" ht="43.2" customHeight="1" x14ac:dyDescent="0.25">
      <c r="A114" s="43" t="s">
        <v>562</v>
      </c>
      <c r="B114" s="43" t="s">
        <v>563</v>
      </c>
      <c r="C114" s="43" t="s">
        <v>473</v>
      </c>
      <c r="D114" s="43" t="s">
        <v>564</v>
      </c>
      <c r="E114" s="43" t="s">
        <v>565</v>
      </c>
      <c r="F114" s="43" t="s">
        <v>566</v>
      </c>
      <c r="G114" s="46" t="s">
        <v>28</v>
      </c>
      <c r="H114" s="45"/>
      <c r="I114" s="45"/>
      <c r="J114" s="45"/>
      <c r="K114" s="46" t="s">
        <v>28</v>
      </c>
      <c r="L114" s="45"/>
      <c r="M114" s="45"/>
      <c r="N114" s="45"/>
      <c r="O114" s="45"/>
      <c r="P114" s="45"/>
      <c r="Q114" s="45"/>
      <c r="R114" s="45"/>
    </row>
    <row r="115" spans="1:18" ht="43.2" customHeight="1" x14ac:dyDescent="0.25">
      <c r="A115" s="43" t="s">
        <v>567</v>
      </c>
      <c r="B115" s="43" t="s">
        <v>568</v>
      </c>
      <c r="C115" s="43" t="s">
        <v>473</v>
      </c>
      <c r="D115" s="43" t="s">
        <v>569</v>
      </c>
      <c r="E115" s="43" t="s">
        <v>570</v>
      </c>
      <c r="F115" s="43" t="s">
        <v>571</v>
      </c>
      <c r="G115" s="46" t="s">
        <v>28</v>
      </c>
      <c r="H115" s="45"/>
      <c r="I115" s="45"/>
      <c r="J115" s="45"/>
      <c r="K115" s="46" t="s">
        <v>28</v>
      </c>
      <c r="L115" s="45"/>
      <c r="M115" s="45"/>
      <c r="N115" s="45"/>
      <c r="O115" s="45"/>
      <c r="P115" s="45"/>
      <c r="Q115" s="45"/>
      <c r="R115" s="45"/>
    </row>
    <row r="116" spans="1:18" ht="43.2" customHeight="1" x14ac:dyDescent="0.25">
      <c r="A116" s="43" t="s">
        <v>572</v>
      </c>
      <c r="B116" s="43" t="s">
        <v>573</v>
      </c>
      <c r="C116" s="43" t="s">
        <v>473</v>
      </c>
      <c r="D116" s="43" t="s">
        <v>574</v>
      </c>
      <c r="E116" s="43" t="s">
        <v>575</v>
      </c>
      <c r="F116" s="43" t="s">
        <v>576</v>
      </c>
      <c r="G116" s="46" t="s">
        <v>28</v>
      </c>
      <c r="H116" s="45"/>
      <c r="I116" s="45"/>
      <c r="J116" s="45"/>
      <c r="K116" s="46" t="s">
        <v>28</v>
      </c>
      <c r="L116" s="45"/>
      <c r="M116" s="45"/>
      <c r="N116" s="45"/>
      <c r="O116" s="45"/>
      <c r="P116" s="45"/>
      <c r="Q116" s="45"/>
      <c r="R116" s="45"/>
    </row>
    <row r="117" spans="1:18" ht="43.2" customHeight="1" x14ac:dyDescent="0.25">
      <c r="A117" s="43" t="s">
        <v>577</v>
      </c>
      <c r="B117" s="43" t="s">
        <v>578</v>
      </c>
      <c r="C117" s="43" t="s">
        <v>579</v>
      </c>
      <c r="D117" s="43" t="s">
        <v>580</v>
      </c>
      <c r="E117" s="43" t="s">
        <v>581</v>
      </c>
      <c r="F117" s="43" t="s">
        <v>582</v>
      </c>
      <c r="G117" s="46" t="s">
        <v>28</v>
      </c>
      <c r="H117" s="45"/>
      <c r="I117" s="45"/>
      <c r="J117" s="45"/>
      <c r="K117" s="46" t="s">
        <v>28</v>
      </c>
      <c r="L117" s="45"/>
      <c r="M117" s="45"/>
      <c r="N117" s="45"/>
      <c r="O117" s="45"/>
      <c r="P117" s="45"/>
      <c r="Q117" s="45"/>
      <c r="R117" s="45"/>
    </row>
    <row r="118" spans="1:18" ht="43.2" customHeight="1" x14ac:dyDescent="0.25">
      <c r="A118" s="43" t="s">
        <v>583</v>
      </c>
      <c r="B118" s="43" t="s">
        <v>584</v>
      </c>
      <c r="C118" s="43" t="s">
        <v>473</v>
      </c>
      <c r="D118" s="43" t="s">
        <v>585</v>
      </c>
      <c r="E118" s="43" t="s">
        <v>586</v>
      </c>
      <c r="F118" s="43" t="s">
        <v>587</v>
      </c>
      <c r="G118" s="46" t="s">
        <v>28</v>
      </c>
      <c r="H118" s="45"/>
      <c r="I118" s="45"/>
      <c r="J118" s="45"/>
      <c r="K118" s="46" t="s">
        <v>28</v>
      </c>
      <c r="L118" s="45"/>
      <c r="M118" s="45"/>
      <c r="N118" s="45"/>
      <c r="O118" s="45"/>
      <c r="P118" s="45"/>
      <c r="Q118" s="45"/>
      <c r="R118" s="45"/>
    </row>
    <row r="119" spans="1:18" ht="43.2" customHeight="1" x14ac:dyDescent="0.25">
      <c r="A119" s="43" t="s">
        <v>588</v>
      </c>
      <c r="B119" s="43" t="s">
        <v>589</v>
      </c>
      <c r="C119" s="43" t="s">
        <v>473</v>
      </c>
      <c r="D119" s="43" t="s">
        <v>590</v>
      </c>
      <c r="E119" s="43" t="s">
        <v>591</v>
      </c>
      <c r="F119" s="43" t="s">
        <v>592</v>
      </c>
      <c r="G119" s="46" t="s">
        <v>28</v>
      </c>
      <c r="H119" s="45"/>
      <c r="I119" s="45"/>
      <c r="J119" s="45"/>
      <c r="K119" s="46" t="s">
        <v>28</v>
      </c>
      <c r="L119" s="45"/>
      <c r="M119" s="45"/>
      <c r="N119" s="45"/>
      <c r="O119" s="45"/>
      <c r="P119" s="45"/>
      <c r="Q119" s="45"/>
      <c r="R119" s="45"/>
    </row>
    <row r="120" spans="1:18" ht="43.2" customHeight="1" x14ac:dyDescent="0.25">
      <c r="A120" s="43" t="s">
        <v>593</v>
      </c>
      <c r="B120" s="43" t="s">
        <v>594</v>
      </c>
      <c r="C120" s="43" t="s">
        <v>473</v>
      </c>
      <c r="D120" s="43" t="s">
        <v>595</v>
      </c>
      <c r="E120" s="43" t="s">
        <v>596</v>
      </c>
      <c r="F120" s="43" t="s">
        <v>597</v>
      </c>
      <c r="G120" s="46" t="s">
        <v>28</v>
      </c>
      <c r="H120" s="45"/>
      <c r="I120" s="45"/>
      <c r="J120" s="45"/>
      <c r="K120" s="46" t="s">
        <v>28</v>
      </c>
      <c r="L120" s="45"/>
      <c r="M120" s="45"/>
      <c r="N120" s="45"/>
      <c r="O120" s="45"/>
      <c r="P120" s="45"/>
      <c r="Q120" s="45"/>
      <c r="R120" s="45"/>
    </row>
    <row r="121" spans="1:18" ht="57.6" customHeight="1" x14ac:dyDescent="0.25">
      <c r="A121" s="43" t="s">
        <v>598</v>
      </c>
      <c r="B121" s="43" t="s">
        <v>599</v>
      </c>
      <c r="C121" s="43" t="s">
        <v>473</v>
      </c>
      <c r="D121" s="43" t="s">
        <v>600</v>
      </c>
      <c r="E121" s="43" t="s">
        <v>601</v>
      </c>
      <c r="F121" s="43" t="s">
        <v>602</v>
      </c>
      <c r="G121" s="46" t="s">
        <v>28</v>
      </c>
      <c r="H121" s="45"/>
      <c r="I121" s="45"/>
      <c r="J121" s="45"/>
      <c r="K121" s="46" t="s">
        <v>28</v>
      </c>
      <c r="L121" s="45"/>
      <c r="M121" s="45"/>
      <c r="N121" s="45"/>
      <c r="O121" s="45"/>
      <c r="P121" s="45"/>
      <c r="Q121" s="45"/>
      <c r="R121" s="45"/>
    </row>
    <row r="122" spans="1:18" ht="57.6" customHeight="1" x14ac:dyDescent="0.25">
      <c r="A122" s="43" t="s">
        <v>603</v>
      </c>
      <c r="B122" s="43" t="s">
        <v>604</v>
      </c>
      <c r="C122" s="43" t="s">
        <v>473</v>
      </c>
      <c r="D122" s="43" t="s">
        <v>605</v>
      </c>
      <c r="E122" s="43" t="s">
        <v>606</v>
      </c>
      <c r="F122" s="43"/>
      <c r="G122" s="46" t="s">
        <v>28</v>
      </c>
      <c r="H122" s="45"/>
      <c r="I122" s="45"/>
      <c r="J122" s="45"/>
      <c r="K122" s="46" t="s">
        <v>28</v>
      </c>
      <c r="L122" s="45"/>
      <c r="M122" s="45"/>
      <c r="N122" s="45"/>
      <c r="O122" s="45"/>
      <c r="P122" s="45"/>
      <c r="Q122" s="45"/>
      <c r="R122" s="45"/>
    </row>
    <row r="123" spans="1:18" ht="43.2" customHeight="1" x14ac:dyDescent="0.25">
      <c r="A123" s="43" t="s">
        <v>607</v>
      </c>
      <c r="B123" s="43" t="s">
        <v>608</v>
      </c>
      <c r="C123" s="43" t="s">
        <v>473</v>
      </c>
      <c r="D123" s="43" t="s">
        <v>609</v>
      </c>
      <c r="E123" s="43" t="s">
        <v>610</v>
      </c>
      <c r="F123" s="43"/>
      <c r="G123" s="46" t="s">
        <v>28</v>
      </c>
      <c r="H123" s="45"/>
      <c r="I123" s="45"/>
      <c r="J123" s="45"/>
      <c r="K123" s="46" t="s">
        <v>28</v>
      </c>
      <c r="L123" s="45"/>
      <c r="M123" s="45"/>
      <c r="N123" s="45"/>
      <c r="O123" s="45"/>
      <c r="P123" s="45"/>
      <c r="Q123" s="45"/>
      <c r="R123" s="45"/>
    </row>
    <row r="124" spans="1:18" ht="28.8" customHeight="1" x14ac:dyDescent="0.25">
      <c r="A124" s="43" t="s">
        <v>611</v>
      </c>
      <c r="B124" s="43" t="s">
        <v>612</v>
      </c>
      <c r="C124" s="43" t="s">
        <v>473</v>
      </c>
      <c r="D124" s="43" t="s">
        <v>613</v>
      </c>
      <c r="E124" s="43" t="s">
        <v>614</v>
      </c>
      <c r="F124" s="43"/>
      <c r="G124" s="46" t="s">
        <v>28</v>
      </c>
      <c r="H124" s="45"/>
      <c r="I124" s="45"/>
      <c r="J124" s="45"/>
      <c r="K124" s="46" t="s">
        <v>28</v>
      </c>
      <c r="L124" s="45"/>
      <c r="M124" s="45"/>
      <c r="N124" s="45"/>
      <c r="O124" s="45"/>
      <c r="P124" s="45"/>
      <c r="Q124" s="45"/>
      <c r="R124" s="45"/>
    </row>
    <row r="125" spans="1:18" ht="43.2" customHeight="1" x14ac:dyDescent="0.25">
      <c r="A125" s="43" t="s">
        <v>615</v>
      </c>
      <c r="B125" s="43" t="s">
        <v>616</v>
      </c>
      <c r="C125" s="43" t="s">
        <v>473</v>
      </c>
      <c r="D125" s="43" t="s">
        <v>617</v>
      </c>
      <c r="E125" s="43" t="s">
        <v>618</v>
      </c>
      <c r="F125" s="43" t="s">
        <v>117</v>
      </c>
      <c r="G125" s="46" t="s">
        <v>28</v>
      </c>
      <c r="H125" s="45"/>
      <c r="I125" s="45"/>
      <c r="J125" s="45"/>
      <c r="K125" s="46" t="s">
        <v>28</v>
      </c>
      <c r="L125" s="45"/>
      <c r="M125" s="45"/>
      <c r="N125" s="45"/>
      <c r="O125" s="45"/>
      <c r="P125" s="45"/>
      <c r="Q125" s="45"/>
      <c r="R125" s="45"/>
    </row>
    <row r="126" spans="1:18" ht="28.8" customHeight="1" x14ac:dyDescent="0.25">
      <c r="A126" s="43" t="s">
        <v>619</v>
      </c>
      <c r="B126" s="43" t="s">
        <v>620</v>
      </c>
      <c r="C126" s="43" t="s">
        <v>473</v>
      </c>
      <c r="D126" s="43" t="s">
        <v>621</v>
      </c>
      <c r="E126" s="43" t="s">
        <v>622</v>
      </c>
      <c r="F126" s="43" t="s">
        <v>623</v>
      </c>
      <c r="G126" s="46" t="s">
        <v>28</v>
      </c>
      <c r="H126" s="45"/>
      <c r="I126" s="45"/>
      <c r="J126" s="45"/>
      <c r="K126" s="46" t="s">
        <v>28</v>
      </c>
      <c r="L126" s="45"/>
      <c r="M126" s="45"/>
      <c r="N126" s="45"/>
      <c r="O126" s="45"/>
      <c r="P126" s="45"/>
      <c r="Q126" s="45"/>
      <c r="R126" s="45"/>
    </row>
    <row r="127" spans="1:18" ht="43.2" customHeight="1" x14ac:dyDescent="0.25">
      <c r="A127" s="43" t="s">
        <v>624</v>
      </c>
      <c r="B127" s="43" t="s">
        <v>625</v>
      </c>
      <c r="C127" s="43" t="s">
        <v>626</v>
      </c>
      <c r="D127" s="43" t="s">
        <v>627</v>
      </c>
      <c r="E127" s="43" t="s">
        <v>628</v>
      </c>
      <c r="F127" s="43" t="s">
        <v>623</v>
      </c>
      <c r="G127" s="46" t="s">
        <v>28</v>
      </c>
      <c r="H127" s="45"/>
      <c r="I127" s="45"/>
      <c r="J127" s="45"/>
      <c r="K127" s="46" t="s">
        <v>28</v>
      </c>
      <c r="L127" s="45"/>
      <c r="M127" s="45"/>
      <c r="N127" s="45"/>
      <c r="O127" s="45"/>
      <c r="P127" s="45"/>
      <c r="Q127" s="45"/>
      <c r="R127" s="45"/>
    </row>
    <row r="128" spans="1:18" ht="57.6" customHeight="1" x14ac:dyDescent="0.25">
      <c r="A128" s="43" t="s">
        <v>629</v>
      </c>
      <c r="B128" s="43" t="s">
        <v>630</v>
      </c>
      <c r="C128" s="43" t="s">
        <v>473</v>
      </c>
      <c r="D128" s="43" t="s">
        <v>631</v>
      </c>
      <c r="E128" s="43" t="s">
        <v>632</v>
      </c>
      <c r="F128" s="43"/>
      <c r="G128" s="46" t="s">
        <v>28</v>
      </c>
      <c r="H128" s="45"/>
      <c r="I128" s="45"/>
      <c r="J128" s="45"/>
      <c r="K128" s="46" t="s">
        <v>28</v>
      </c>
      <c r="L128" s="45"/>
      <c r="M128" s="45"/>
      <c r="N128" s="45"/>
      <c r="O128" s="45"/>
      <c r="P128" s="45"/>
      <c r="Q128" s="45"/>
      <c r="R128" s="45"/>
    </row>
    <row r="129" spans="1:18" ht="57.6" customHeight="1" x14ac:dyDescent="0.25">
      <c r="A129" s="43" t="s">
        <v>633</v>
      </c>
      <c r="B129" s="43" t="s">
        <v>634</v>
      </c>
      <c r="C129" s="43" t="s">
        <v>473</v>
      </c>
      <c r="D129" s="43" t="s">
        <v>635</v>
      </c>
      <c r="E129" s="43" t="s">
        <v>636</v>
      </c>
      <c r="F129" s="43" t="s">
        <v>637</v>
      </c>
      <c r="G129" s="46" t="s">
        <v>28</v>
      </c>
      <c r="H129" s="45"/>
      <c r="I129" s="45"/>
      <c r="J129" s="45"/>
      <c r="K129" s="46" t="s">
        <v>28</v>
      </c>
      <c r="L129" s="45"/>
      <c r="M129" s="45"/>
      <c r="N129" s="45"/>
      <c r="O129" s="45"/>
      <c r="P129" s="45"/>
      <c r="Q129" s="45"/>
      <c r="R129" s="45"/>
    </row>
    <row r="130" spans="1:18" ht="57.6" customHeight="1" x14ac:dyDescent="0.25">
      <c r="A130" s="43" t="s">
        <v>638</v>
      </c>
      <c r="B130" s="43" t="s">
        <v>639</v>
      </c>
      <c r="C130" s="43" t="s">
        <v>473</v>
      </c>
      <c r="D130" s="43" t="s">
        <v>640</v>
      </c>
      <c r="E130" s="43" t="s">
        <v>641</v>
      </c>
      <c r="F130" s="43" t="s">
        <v>637</v>
      </c>
      <c r="G130" s="46" t="s">
        <v>28</v>
      </c>
      <c r="H130" s="45"/>
      <c r="I130" s="45"/>
      <c r="J130" s="45"/>
      <c r="K130" s="46" t="s">
        <v>28</v>
      </c>
      <c r="L130" s="45"/>
      <c r="M130" s="45"/>
      <c r="N130" s="45"/>
      <c r="O130" s="45"/>
      <c r="P130" s="45"/>
      <c r="Q130" s="45"/>
      <c r="R130" s="45"/>
    </row>
    <row r="131" spans="1:18" ht="57.6" customHeight="1" x14ac:dyDescent="0.25">
      <c r="A131" s="43" t="s">
        <v>642</v>
      </c>
      <c r="B131" s="43" t="s">
        <v>643</v>
      </c>
      <c r="C131" s="43" t="s">
        <v>473</v>
      </c>
      <c r="D131" s="43" t="s">
        <v>644</v>
      </c>
      <c r="E131" s="43" t="s">
        <v>645</v>
      </c>
      <c r="F131" s="43" t="s">
        <v>637</v>
      </c>
      <c r="G131" s="46" t="s">
        <v>28</v>
      </c>
      <c r="H131" s="45"/>
      <c r="I131" s="45"/>
      <c r="J131" s="45"/>
      <c r="K131" s="46" t="s">
        <v>28</v>
      </c>
      <c r="L131" s="45"/>
      <c r="M131" s="45"/>
      <c r="N131" s="45"/>
      <c r="O131" s="45"/>
      <c r="P131" s="45"/>
      <c r="Q131" s="45"/>
      <c r="R131" s="45"/>
    </row>
    <row r="132" spans="1:18" ht="57.6" customHeight="1" x14ac:dyDescent="0.25">
      <c r="A132" s="43" t="s">
        <v>646</v>
      </c>
      <c r="B132" s="43" t="s">
        <v>647</v>
      </c>
      <c r="C132" s="43" t="s">
        <v>473</v>
      </c>
      <c r="D132" s="43" t="s">
        <v>648</v>
      </c>
      <c r="E132" s="43" t="s">
        <v>649</v>
      </c>
      <c r="F132" s="43" t="s">
        <v>637</v>
      </c>
      <c r="G132" s="46" t="s">
        <v>28</v>
      </c>
      <c r="H132" s="45"/>
      <c r="I132" s="45"/>
      <c r="J132" s="45"/>
      <c r="K132" s="46" t="s">
        <v>28</v>
      </c>
      <c r="L132" s="45"/>
      <c r="M132" s="45"/>
      <c r="N132" s="45"/>
      <c r="O132" s="45"/>
      <c r="P132" s="45"/>
      <c r="Q132" s="45"/>
      <c r="R132" s="45"/>
    </row>
    <row r="133" spans="1:18" ht="43.2" customHeight="1" x14ac:dyDescent="0.25">
      <c r="A133" s="43" t="s">
        <v>650</v>
      </c>
      <c r="B133" s="43" t="s">
        <v>651</v>
      </c>
      <c r="C133" s="43" t="s">
        <v>652</v>
      </c>
      <c r="D133" s="43" t="s">
        <v>653</v>
      </c>
      <c r="E133" s="43" t="s">
        <v>654</v>
      </c>
      <c r="F133" s="43"/>
      <c r="G133" s="46" t="s">
        <v>28</v>
      </c>
      <c r="H133" s="45"/>
      <c r="I133" s="45"/>
      <c r="J133" s="45"/>
      <c r="K133" s="46" t="s">
        <v>28</v>
      </c>
      <c r="L133" s="45"/>
      <c r="M133" s="45"/>
      <c r="N133" s="45"/>
      <c r="O133" s="45"/>
      <c r="P133" s="45"/>
      <c r="Q133" s="45"/>
      <c r="R133" s="45"/>
    </row>
    <row r="134" spans="1:18" ht="28.8" customHeight="1" x14ac:dyDescent="0.25">
      <c r="A134" s="43" t="s">
        <v>655</v>
      </c>
      <c r="B134" s="43" t="s">
        <v>656</v>
      </c>
      <c r="C134" s="43" t="s">
        <v>473</v>
      </c>
      <c r="D134" s="43" t="s">
        <v>657</v>
      </c>
      <c r="E134" s="43" t="s">
        <v>658</v>
      </c>
      <c r="F134" s="43" t="s">
        <v>149</v>
      </c>
      <c r="G134" s="46" t="s">
        <v>28</v>
      </c>
      <c r="H134" s="45"/>
      <c r="I134" s="45"/>
      <c r="J134" s="45"/>
      <c r="K134" s="46" t="s">
        <v>28</v>
      </c>
      <c r="L134" s="45"/>
      <c r="M134" s="45"/>
      <c r="N134" s="45"/>
      <c r="O134" s="45"/>
      <c r="P134" s="45"/>
      <c r="Q134" s="45"/>
      <c r="R134" s="45"/>
    </row>
    <row r="135" spans="1:18" ht="28.8" customHeight="1" x14ac:dyDescent="0.25">
      <c r="A135" s="43" t="s">
        <v>659</v>
      </c>
      <c r="B135" s="43" t="s">
        <v>660</v>
      </c>
      <c r="C135" s="43" t="s">
        <v>661</v>
      </c>
      <c r="D135" s="43" t="s">
        <v>662</v>
      </c>
      <c r="E135" s="43" t="s">
        <v>663</v>
      </c>
      <c r="F135" s="43"/>
      <c r="G135" s="46" t="s">
        <v>28</v>
      </c>
      <c r="H135" s="45"/>
      <c r="I135" s="45"/>
      <c r="J135" s="45"/>
      <c r="K135" s="46" t="s">
        <v>28</v>
      </c>
      <c r="L135" s="45"/>
      <c r="M135" s="45"/>
      <c r="N135" s="45"/>
      <c r="O135" s="45"/>
      <c r="P135" s="45"/>
      <c r="Q135" s="45"/>
      <c r="R135" s="45"/>
    </row>
    <row r="136" spans="1:18" ht="57.6" customHeight="1" x14ac:dyDescent="0.25">
      <c r="A136" s="43" t="s">
        <v>664</v>
      </c>
      <c r="B136" s="43" t="s">
        <v>665</v>
      </c>
      <c r="C136" s="43" t="s">
        <v>661</v>
      </c>
      <c r="D136" s="43" t="s">
        <v>666</v>
      </c>
      <c r="E136" s="43" t="s">
        <v>667</v>
      </c>
      <c r="F136" s="43"/>
      <c r="G136" s="46" t="s">
        <v>28</v>
      </c>
      <c r="H136" s="45"/>
      <c r="I136" s="45"/>
      <c r="J136" s="45"/>
      <c r="K136" s="46" t="s">
        <v>28</v>
      </c>
      <c r="L136" s="45"/>
      <c r="M136" s="45"/>
      <c r="N136" s="45"/>
      <c r="O136" s="45"/>
      <c r="P136" s="45"/>
      <c r="Q136" s="45"/>
      <c r="R136" s="45"/>
    </row>
    <row r="137" spans="1:18" ht="60" customHeight="1" x14ac:dyDescent="0.25">
      <c r="A137" s="43" t="s">
        <v>668</v>
      </c>
      <c r="B137" s="43" t="s">
        <v>669</v>
      </c>
      <c r="C137" s="43" t="s">
        <v>482</v>
      </c>
      <c r="D137" s="43" t="s">
        <v>670</v>
      </c>
      <c r="E137" s="43" t="s">
        <v>671</v>
      </c>
      <c r="F137" s="43"/>
      <c r="G137" s="46" t="s">
        <v>28</v>
      </c>
      <c r="H137" s="45"/>
      <c r="I137" s="45"/>
      <c r="J137" s="45"/>
      <c r="K137" s="46" t="s">
        <v>28</v>
      </c>
      <c r="L137" s="45"/>
      <c r="M137" s="45"/>
      <c r="N137" s="45"/>
      <c r="O137" s="45"/>
      <c r="P137" s="45"/>
      <c r="Q137" s="45"/>
      <c r="R137" s="45"/>
    </row>
    <row r="138" spans="1:18" s="54" customFormat="1" ht="30" customHeight="1" x14ac:dyDescent="0.25">
      <c r="A138" s="48" t="s">
        <v>672</v>
      </c>
      <c r="B138" s="48" t="s">
        <v>673</v>
      </c>
      <c r="C138" s="64" t="s">
        <v>463</v>
      </c>
      <c r="D138" s="64" t="s">
        <v>674</v>
      </c>
      <c r="E138" s="64" t="s">
        <v>675</v>
      </c>
      <c r="F138" s="64" t="s">
        <v>308</v>
      </c>
      <c r="G138" s="46" t="s">
        <v>28</v>
      </c>
      <c r="H138" s="45"/>
      <c r="I138" s="45"/>
      <c r="J138" s="45"/>
      <c r="K138" s="46" t="s">
        <v>28</v>
      </c>
      <c r="L138" s="53"/>
      <c r="M138" s="53"/>
      <c r="N138" s="53"/>
      <c r="O138" s="53"/>
      <c r="P138" s="53"/>
      <c r="Q138" s="53"/>
      <c r="R138" s="53"/>
    </row>
    <row r="139" spans="1:18" ht="14.4" customHeight="1" x14ac:dyDescent="0.25">
      <c r="A139" s="58"/>
      <c r="B139" s="101" t="s">
        <v>395</v>
      </c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6"/>
    </row>
    <row r="140" spans="1:18" ht="15.6" customHeight="1" x14ac:dyDescent="0.25">
      <c r="A140" s="61"/>
      <c r="B140" s="103" t="s">
        <v>396</v>
      </c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6"/>
    </row>
    <row r="141" spans="1:18" ht="43.2" customHeight="1" x14ac:dyDescent="0.25">
      <c r="A141" s="43" t="s">
        <v>676</v>
      </c>
      <c r="B141" s="43" t="s">
        <v>677</v>
      </c>
      <c r="C141" s="43" t="s">
        <v>678</v>
      </c>
      <c r="D141" s="43" t="s">
        <v>400</v>
      </c>
      <c r="E141" s="43" t="s">
        <v>401</v>
      </c>
      <c r="F141" s="43"/>
      <c r="G141" s="46" t="s">
        <v>28</v>
      </c>
      <c r="H141" s="45"/>
      <c r="I141" s="45"/>
      <c r="J141" s="45"/>
      <c r="K141" s="46" t="s">
        <v>28</v>
      </c>
      <c r="L141" s="45"/>
      <c r="M141" s="45"/>
      <c r="N141" s="45"/>
      <c r="O141" s="45"/>
      <c r="P141" s="45"/>
      <c r="Q141" s="45"/>
      <c r="R141" s="45"/>
    </row>
    <row r="142" spans="1:18" ht="72" customHeight="1" x14ac:dyDescent="0.25">
      <c r="A142" s="43" t="s">
        <v>679</v>
      </c>
      <c r="B142" s="43" t="s">
        <v>680</v>
      </c>
      <c r="C142" s="43" t="s">
        <v>678</v>
      </c>
      <c r="D142" s="43" t="s">
        <v>404</v>
      </c>
      <c r="E142" s="43" t="s">
        <v>405</v>
      </c>
      <c r="F142" s="43"/>
      <c r="G142" s="46" t="s">
        <v>28</v>
      </c>
      <c r="H142" s="45"/>
      <c r="I142" s="45"/>
      <c r="J142" s="45"/>
      <c r="K142" s="46" t="s">
        <v>28</v>
      </c>
      <c r="L142" s="45"/>
      <c r="M142" s="45"/>
      <c r="N142" s="45"/>
      <c r="O142" s="45"/>
      <c r="P142" s="45"/>
      <c r="Q142" s="45"/>
      <c r="R142" s="45"/>
    </row>
    <row r="143" spans="1:18" ht="72.599999999999994" customHeight="1" x14ac:dyDescent="0.25">
      <c r="A143" s="43" t="s">
        <v>681</v>
      </c>
      <c r="B143" s="43" t="s">
        <v>682</v>
      </c>
      <c r="C143" s="43" t="s">
        <v>678</v>
      </c>
      <c r="D143" s="43" t="s">
        <v>408</v>
      </c>
      <c r="E143" s="43" t="s">
        <v>409</v>
      </c>
      <c r="F143" s="43"/>
      <c r="G143" s="46" t="s">
        <v>28</v>
      </c>
      <c r="H143" s="45"/>
      <c r="I143" s="45"/>
      <c r="J143" s="45"/>
      <c r="K143" s="46" t="s">
        <v>28</v>
      </c>
      <c r="L143" s="45"/>
      <c r="M143" s="45"/>
      <c r="N143" s="45"/>
      <c r="O143" s="45"/>
      <c r="P143" s="45"/>
      <c r="Q143" s="45"/>
      <c r="R143" s="45"/>
    </row>
    <row r="144" spans="1:18" ht="43.2" customHeight="1" x14ac:dyDescent="0.25">
      <c r="A144" s="43" t="s">
        <v>683</v>
      </c>
      <c r="B144" s="43" t="s">
        <v>684</v>
      </c>
      <c r="C144" s="43" t="s">
        <v>678</v>
      </c>
      <c r="D144" s="43" t="s">
        <v>412</v>
      </c>
      <c r="E144" s="43" t="s">
        <v>413</v>
      </c>
      <c r="F144" s="43"/>
      <c r="G144" s="46" t="s">
        <v>28</v>
      </c>
      <c r="H144" s="45"/>
      <c r="I144" s="45"/>
      <c r="J144" s="45"/>
      <c r="K144" s="46" t="s">
        <v>28</v>
      </c>
      <c r="L144" s="45"/>
      <c r="M144" s="45"/>
      <c r="N144" s="45"/>
      <c r="O144" s="45"/>
      <c r="P144" s="45"/>
      <c r="Q144" s="45"/>
      <c r="R144" s="45"/>
    </row>
    <row r="145" spans="1:18" ht="43.2" customHeight="1" x14ac:dyDescent="0.25">
      <c r="A145" s="43" t="s">
        <v>685</v>
      </c>
      <c r="B145" s="43" t="s">
        <v>686</v>
      </c>
      <c r="C145" s="43" t="s">
        <v>678</v>
      </c>
      <c r="D145" s="43" t="s">
        <v>416</v>
      </c>
      <c r="E145" s="43" t="s">
        <v>413</v>
      </c>
      <c r="F145" s="43"/>
      <c r="G145" s="46" t="s">
        <v>28</v>
      </c>
      <c r="H145" s="45"/>
      <c r="I145" s="45"/>
      <c r="J145" s="45"/>
      <c r="K145" s="46" t="s">
        <v>28</v>
      </c>
      <c r="L145" s="45"/>
      <c r="M145" s="45"/>
      <c r="N145" s="45"/>
      <c r="O145" s="45"/>
      <c r="P145" s="45"/>
      <c r="Q145" s="45"/>
      <c r="R145" s="45"/>
    </row>
    <row r="146" spans="1:18" ht="43.8" customHeight="1" x14ac:dyDescent="0.25">
      <c r="A146" s="43" t="s">
        <v>687</v>
      </c>
      <c r="B146" s="43" t="s">
        <v>688</v>
      </c>
      <c r="C146" s="43" t="s">
        <v>678</v>
      </c>
      <c r="D146" s="43" t="s">
        <v>419</v>
      </c>
      <c r="E146" s="43" t="s">
        <v>420</v>
      </c>
      <c r="F146" s="43"/>
      <c r="G146" s="46" t="s">
        <v>28</v>
      </c>
      <c r="H146" s="45"/>
      <c r="I146" s="45"/>
      <c r="J146" s="45"/>
      <c r="K146" s="46" t="s">
        <v>28</v>
      </c>
      <c r="L146" s="45"/>
      <c r="M146" s="45"/>
      <c r="N146" s="45"/>
      <c r="O146" s="45"/>
      <c r="P146" s="45"/>
      <c r="Q146" s="45"/>
      <c r="R146" s="45"/>
    </row>
    <row r="147" spans="1:18" ht="28.8" customHeight="1" x14ac:dyDescent="0.25">
      <c r="A147" s="43" t="s">
        <v>689</v>
      </c>
      <c r="B147" s="43" t="s">
        <v>690</v>
      </c>
      <c r="C147" s="43" t="s">
        <v>678</v>
      </c>
      <c r="D147" s="43" t="s">
        <v>423</v>
      </c>
      <c r="E147" s="43" t="s">
        <v>424</v>
      </c>
      <c r="F147" s="43"/>
      <c r="G147" s="46" t="s">
        <v>28</v>
      </c>
      <c r="H147" s="45"/>
      <c r="I147" s="45"/>
      <c r="J147" s="45"/>
      <c r="K147" s="46" t="s">
        <v>28</v>
      </c>
      <c r="L147" s="45"/>
      <c r="M147" s="45"/>
      <c r="N147" s="45"/>
      <c r="O147" s="45"/>
      <c r="P147" s="45"/>
      <c r="Q147" s="45"/>
      <c r="R147" s="45"/>
    </row>
    <row r="148" spans="1:18" s="54" customFormat="1" ht="31.8" customHeight="1" x14ac:dyDescent="0.25">
      <c r="A148" s="48" t="s">
        <v>691</v>
      </c>
      <c r="B148" s="48" t="s">
        <v>692</v>
      </c>
      <c r="C148" s="64" t="s">
        <v>678</v>
      </c>
      <c r="D148" s="64" t="s">
        <v>427</v>
      </c>
      <c r="E148" s="64" t="s">
        <v>424</v>
      </c>
      <c r="F148" s="53"/>
      <c r="G148" s="46" t="s">
        <v>28</v>
      </c>
      <c r="H148" s="45"/>
      <c r="I148" s="45"/>
      <c r="J148" s="45"/>
      <c r="K148" s="46" t="s">
        <v>28</v>
      </c>
      <c r="L148" s="53"/>
      <c r="M148" s="53"/>
      <c r="N148" s="53"/>
      <c r="O148" s="53"/>
      <c r="P148" s="53"/>
      <c r="Q148" s="53"/>
      <c r="R148" s="53"/>
    </row>
    <row r="149" spans="1:18" ht="17.399999999999999" customHeight="1" x14ac:dyDescent="0.25">
      <c r="A149" s="61"/>
      <c r="B149" s="103" t="s">
        <v>428</v>
      </c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6"/>
    </row>
    <row r="150" spans="1:18" ht="43.2" customHeight="1" x14ac:dyDescent="0.25">
      <c r="A150" s="43" t="s">
        <v>693</v>
      </c>
      <c r="B150" s="43" t="s">
        <v>694</v>
      </c>
      <c r="C150" s="43" t="s">
        <v>678</v>
      </c>
      <c r="D150" s="43" t="s">
        <v>431</v>
      </c>
      <c r="E150" s="43" t="s">
        <v>432</v>
      </c>
      <c r="F150" s="43"/>
      <c r="G150" s="46" t="s">
        <v>28</v>
      </c>
      <c r="H150" s="45"/>
      <c r="I150" s="45"/>
      <c r="J150" s="45"/>
      <c r="K150" s="46" t="s">
        <v>28</v>
      </c>
      <c r="L150" s="45"/>
      <c r="M150" s="45"/>
      <c r="N150" s="45"/>
      <c r="O150" s="45"/>
      <c r="P150" s="45"/>
      <c r="Q150" s="45"/>
      <c r="R150" s="45"/>
    </row>
    <row r="151" spans="1:18" ht="57.6" customHeight="1" x14ac:dyDescent="0.25">
      <c r="A151" s="43" t="s">
        <v>695</v>
      </c>
      <c r="B151" s="43" t="s">
        <v>696</v>
      </c>
      <c r="C151" s="43" t="s">
        <v>678</v>
      </c>
      <c r="D151" s="43" t="s">
        <v>435</v>
      </c>
      <c r="E151" s="43" t="s">
        <v>432</v>
      </c>
      <c r="F151" s="43"/>
      <c r="G151" s="46" t="s">
        <v>28</v>
      </c>
      <c r="H151" s="45"/>
      <c r="I151" s="45"/>
      <c r="J151" s="45"/>
      <c r="K151" s="46" t="s">
        <v>28</v>
      </c>
      <c r="L151" s="45"/>
      <c r="M151" s="45"/>
      <c r="N151" s="45"/>
      <c r="O151" s="45"/>
      <c r="P151" s="45"/>
      <c r="Q151" s="45"/>
      <c r="R151" s="45"/>
    </row>
    <row r="152" spans="1:18" ht="57.6" customHeight="1" x14ac:dyDescent="0.25">
      <c r="A152" s="43" t="s">
        <v>697</v>
      </c>
      <c r="B152" s="43" t="s">
        <v>698</v>
      </c>
      <c r="C152" s="43" t="s">
        <v>678</v>
      </c>
      <c r="D152" s="43" t="s">
        <v>438</v>
      </c>
      <c r="E152" s="43" t="s">
        <v>439</v>
      </c>
      <c r="F152" s="43"/>
      <c r="G152" s="46" t="s">
        <v>28</v>
      </c>
      <c r="H152" s="45"/>
      <c r="I152" s="45"/>
      <c r="J152" s="45"/>
      <c r="K152" s="46" t="s">
        <v>28</v>
      </c>
      <c r="L152" s="45"/>
      <c r="M152" s="45"/>
      <c r="N152" s="45"/>
      <c r="O152" s="45"/>
      <c r="P152" s="45"/>
      <c r="Q152" s="45"/>
      <c r="R152" s="45"/>
    </row>
    <row r="153" spans="1:18" ht="57.6" customHeight="1" x14ac:dyDescent="0.25">
      <c r="A153" s="43" t="s">
        <v>699</v>
      </c>
      <c r="B153" s="43" t="s">
        <v>700</v>
      </c>
      <c r="C153" s="43" t="s">
        <v>678</v>
      </c>
      <c r="D153" s="43" t="s">
        <v>442</v>
      </c>
      <c r="E153" s="43" t="s">
        <v>443</v>
      </c>
      <c r="F153" s="43"/>
      <c r="G153" s="46" t="s">
        <v>28</v>
      </c>
      <c r="H153" s="45"/>
      <c r="I153" s="45"/>
      <c r="J153" s="45"/>
      <c r="K153" s="46" t="s">
        <v>28</v>
      </c>
      <c r="L153" s="45"/>
      <c r="M153" s="45"/>
      <c r="N153" s="45"/>
      <c r="O153" s="45"/>
      <c r="P153" s="45"/>
      <c r="Q153" s="45"/>
      <c r="R153" s="45"/>
    </row>
    <row r="154" spans="1:18" ht="57.6" customHeight="1" x14ac:dyDescent="0.25">
      <c r="A154" s="43" t="s">
        <v>701</v>
      </c>
      <c r="B154" s="43" t="s">
        <v>702</v>
      </c>
      <c r="C154" s="43" t="s">
        <v>678</v>
      </c>
      <c r="D154" s="43" t="s">
        <v>446</v>
      </c>
      <c r="E154" s="43" t="s">
        <v>447</v>
      </c>
      <c r="F154" s="43"/>
      <c r="G154" s="46" t="s">
        <v>28</v>
      </c>
      <c r="H154" s="45"/>
      <c r="I154" s="45"/>
      <c r="J154" s="45"/>
      <c r="K154" s="46" t="s">
        <v>28</v>
      </c>
      <c r="L154" s="45"/>
      <c r="M154" s="45"/>
      <c r="N154" s="45"/>
      <c r="O154" s="45"/>
      <c r="P154" s="45"/>
      <c r="Q154" s="45"/>
      <c r="R154" s="45"/>
    </row>
    <row r="155" spans="1:18" ht="57.6" customHeight="1" x14ac:dyDescent="0.25">
      <c r="A155" s="43" t="s">
        <v>703</v>
      </c>
      <c r="B155" s="43" t="s">
        <v>704</v>
      </c>
      <c r="C155" s="43" t="s">
        <v>678</v>
      </c>
      <c r="D155" s="43" t="s">
        <v>450</v>
      </c>
      <c r="E155" s="43" t="s">
        <v>451</v>
      </c>
      <c r="F155" s="43"/>
      <c r="G155" s="46" t="s">
        <v>28</v>
      </c>
      <c r="H155" s="45"/>
      <c r="I155" s="45"/>
      <c r="J155" s="45"/>
      <c r="K155" s="46" t="s">
        <v>28</v>
      </c>
      <c r="L155" s="45"/>
      <c r="M155" s="45"/>
      <c r="N155" s="45"/>
      <c r="O155" s="45"/>
      <c r="P155" s="45"/>
      <c r="Q155" s="45"/>
      <c r="R155" s="45"/>
    </row>
    <row r="156" spans="1:18" ht="57.6" customHeight="1" x14ac:dyDescent="0.25">
      <c r="A156" s="43" t="s">
        <v>705</v>
      </c>
      <c r="B156" s="43" t="s">
        <v>706</v>
      </c>
      <c r="C156" s="43" t="s">
        <v>678</v>
      </c>
      <c r="D156" s="43" t="s">
        <v>454</v>
      </c>
      <c r="E156" s="43" t="s">
        <v>455</v>
      </c>
      <c r="F156" s="43"/>
      <c r="G156" s="46" t="s">
        <v>28</v>
      </c>
      <c r="H156" s="45"/>
      <c r="I156" s="45"/>
      <c r="J156" s="45"/>
      <c r="K156" s="46" t="s">
        <v>28</v>
      </c>
      <c r="L156" s="45"/>
      <c r="M156" s="45"/>
      <c r="N156" s="45"/>
      <c r="O156" s="45"/>
      <c r="P156" s="45"/>
      <c r="Q156" s="45"/>
      <c r="R156" s="45"/>
    </row>
    <row r="157" spans="1:18" s="54" customFormat="1" ht="58.8" customHeight="1" x14ac:dyDescent="0.25">
      <c r="A157" s="48" t="s">
        <v>707</v>
      </c>
      <c r="B157" s="48" t="s">
        <v>708</v>
      </c>
      <c r="C157" s="64" t="s">
        <v>678</v>
      </c>
      <c r="D157" s="64" t="s">
        <v>458</v>
      </c>
      <c r="E157" s="64" t="s">
        <v>459</v>
      </c>
      <c r="F157" s="53"/>
      <c r="G157" s="46" t="s">
        <v>28</v>
      </c>
      <c r="H157" s="45"/>
      <c r="I157" s="45"/>
      <c r="J157" s="45"/>
      <c r="K157" s="46" t="s">
        <v>28</v>
      </c>
      <c r="L157" s="53"/>
      <c r="M157" s="53"/>
      <c r="N157" s="53"/>
      <c r="O157" s="53"/>
      <c r="P157" s="53"/>
      <c r="Q157" s="53"/>
      <c r="R157" s="53"/>
    </row>
    <row r="158" spans="1:18" ht="14.4" customHeight="1" x14ac:dyDescent="0.25">
      <c r="A158" s="60"/>
      <c r="B158" s="108" t="s">
        <v>709</v>
      </c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6"/>
    </row>
    <row r="159" spans="1:18" ht="18" customHeight="1" x14ac:dyDescent="0.25">
      <c r="A159" s="58"/>
      <c r="B159" s="101" t="s">
        <v>82</v>
      </c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6"/>
    </row>
    <row r="160" spans="1:18" ht="109.2" customHeight="1" x14ac:dyDescent="0.25">
      <c r="A160" s="43" t="s">
        <v>710</v>
      </c>
      <c r="B160" s="43" t="s">
        <v>711</v>
      </c>
      <c r="C160" s="43" t="s">
        <v>712</v>
      </c>
      <c r="D160" s="43" t="s">
        <v>713</v>
      </c>
      <c r="E160" s="43" t="s">
        <v>714</v>
      </c>
      <c r="F160" s="43" t="s">
        <v>88</v>
      </c>
      <c r="G160" s="46" t="s">
        <v>28</v>
      </c>
      <c r="H160" s="45"/>
      <c r="I160" s="45"/>
      <c r="J160" s="45"/>
      <c r="K160" s="46" t="s">
        <v>28</v>
      </c>
      <c r="L160" s="45"/>
      <c r="M160" s="45"/>
      <c r="N160" s="45"/>
      <c r="O160" s="45"/>
      <c r="P160" s="45"/>
      <c r="Q160" s="45"/>
      <c r="R160" s="45"/>
    </row>
    <row r="161" spans="1:18" ht="28.8" customHeight="1" x14ac:dyDescent="0.25">
      <c r="A161" s="43" t="s">
        <v>715</v>
      </c>
      <c r="B161" s="43" t="s">
        <v>716</v>
      </c>
      <c r="C161" s="43" t="s">
        <v>717</v>
      </c>
      <c r="D161" s="43" t="s">
        <v>718</v>
      </c>
      <c r="E161" s="43" t="s">
        <v>719</v>
      </c>
      <c r="F161" s="43" t="s">
        <v>94</v>
      </c>
      <c r="G161" s="46" t="s">
        <v>28</v>
      </c>
      <c r="H161" s="45"/>
      <c r="I161" s="45"/>
      <c r="J161" s="45"/>
      <c r="K161" s="46" t="s">
        <v>28</v>
      </c>
      <c r="L161" s="45"/>
      <c r="M161" s="45"/>
      <c r="N161" s="45"/>
      <c r="O161" s="45"/>
      <c r="P161" s="45"/>
      <c r="Q161" s="45"/>
      <c r="R161" s="45"/>
    </row>
    <row r="162" spans="1:18" ht="28.8" customHeight="1" x14ac:dyDescent="0.25">
      <c r="A162" s="43" t="s">
        <v>720</v>
      </c>
      <c r="B162" s="43" t="s">
        <v>721</v>
      </c>
      <c r="C162" s="43" t="s">
        <v>722</v>
      </c>
      <c r="D162" s="43" t="s">
        <v>723</v>
      </c>
      <c r="E162" s="43" t="s">
        <v>724</v>
      </c>
      <c r="F162" s="43"/>
      <c r="G162" s="46" t="s">
        <v>28</v>
      </c>
      <c r="H162" s="45"/>
      <c r="I162" s="45"/>
      <c r="J162" s="45"/>
      <c r="K162" s="46" t="s">
        <v>28</v>
      </c>
      <c r="L162" s="45"/>
      <c r="M162" s="45"/>
      <c r="N162" s="45"/>
      <c r="O162" s="45"/>
      <c r="P162" s="45"/>
      <c r="Q162" s="45"/>
      <c r="R162" s="45"/>
    </row>
    <row r="163" spans="1:18" ht="28.8" customHeight="1" x14ac:dyDescent="0.25">
      <c r="A163" s="43" t="s">
        <v>725</v>
      </c>
      <c r="B163" s="43" t="s">
        <v>726</v>
      </c>
      <c r="C163" s="43" t="s">
        <v>727</v>
      </c>
      <c r="D163" s="43" t="s">
        <v>728</v>
      </c>
      <c r="E163" s="43" t="s">
        <v>729</v>
      </c>
      <c r="F163" s="43"/>
      <c r="G163" s="46" t="s">
        <v>28</v>
      </c>
      <c r="H163" s="45"/>
      <c r="I163" s="45"/>
      <c r="J163" s="45"/>
      <c r="K163" s="46" t="s">
        <v>28</v>
      </c>
      <c r="L163" s="45"/>
      <c r="M163" s="45"/>
      <c r="N163" s="45"/>
      <c r="O163" s="45"/>
      <c r="P163" s="45"/>
      <c r="Q163" s="45"/>
      <c r="R163" s="45"/>
    </row>
    <row r="164" spans="1:18" ht="28.8" customHeight="1" x14ac:dyDescent="0.25">
      <c r="A164" s="43" t="s">
        <v>730</v>
      </c>
      <c r="B164" s="43" t="s">
        <v>731</v>
      </c>
      <c r="C164" s="43" t="s">
        <v>732</v>
      </c>
      <c r="D164" s="43" t="s">
        <v>733</v>
      </c>
      <c r="E164" s="43" t="s">
        <v>734</v>
      </c>
      <c r="F164" s="43"/>
      <c r="G164" s="46" t="s">
        <v>28</v>
      </c>
      <c r="H164" s="45"/>
      <c r="I164" s="45"/>
      <c r="J164" s="45"/>
      <c r="K164" s="46" t="s">
        <v>28</v>
      </c>
      <c r="L164" s="45"/>
      <c r="M164" s="45"/>
      <c r="N164" s="45"/>
      <c r="O164" s="45"/>
      <c r="P164" s="45"/>
      <c r="Q164" s="45"/>
      <c r="R164" s="45"/>
    </row>
    <row r="165" spans="1:18" ht="43.2" customHeight="1" x14ac:dyDescent="0.25">
      <c r="A165" s="43" t="s">
        <v>735</v>
      </c>
      <c r="B165" s="43" t="s">
        <v>736</v>
      </c>
      <c r="C165" s="43" t="s">
        <v>737</v>
      </c>
      <c r="D165" s="43" t="s">
        <v>738</v>
      </c>
      <c r="E165" s="43" t="s">
        <v>739</v>
      </c>
      <c r="F165" s="43" t="s">
        <v>117</v>
      </c>
      <c r="G165" s="46" t="s">
        <v>28</v>
      </c>
      <c r="H165" s="45"/>
      <c r="I165" s="45"/>
      <c r="J165" s="45"/>
      <c r="K165" s="46" t="s">
        <v>28</v>
      </c>
      <c r="L165" s="45"/>
      <c r="M165" s="45"/>
      <c r="N165" s="45"/>
      <c r="O165" s="45"/>
      <c r="P165" s="45"/>
      <c r="Q165" s="45"/>
      <c r="R165" s="45"/>
    </row>
    <row r="166" spans="1:18" s="54" customFormat="1" ht="50.4" customHeight="1" x14ac:dyDescent="0.25">
      <c r="A166" s="48" t="s">
        <v>740</v>
      </c>
      <c r="B166" s="48" t="s">
        <v>741</v>
      </c>
      <c r="C166" s="64" t="s">
        <v>742</v>
      </c>
      <c r="D166" s="64" t="s">
        <v>743</v>
      </c>
      <c r="E166" s="64" t="s">
        <v>744</v>
      </c>
      <c r="F166" s="53"/>
      <c r="G166" s="46" t="s">
        <v>28</v>
      </c>
      <c r="H166" s="45"/>
      <c r="I166" s="45"/>
      <c r="J166" s="45"/>
      <c r="K166" s="46" t="s">
        <v>28</v>
      </c>
      <c r="L166" s="53"/>
      <c r="M166" s="53"/>
      <c r="N166" s="53"/>
      <c r="O166" s="53"/>
      <c r="P166" s="53"/>
      <c r="Q166" s="53"/>
      <c r="R166" s="53"/>
    </row>
    <row r="167" spans="1:18" ht="16.8" customHeight="1" x14ac:dyDescent="0.25">
      <c r="A167" s="58"/>
      <c r="B167" s="101" t="s">
        <v>150</v>
      </c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6"/>
    </row>
    <row r="168" spans="1:18" ht="51.6" customHeight="1" x14ac:dyDescent="0.25">
      <c r="A168" s="43" t="s">
        <v>745</v>
      </c>
      <c r="B168" s="43" t="s">
        <v>746</v>
      </c>
      <c r="C168" s="43" t="s">
        <v>747</v>
      </c>
      <c r="D168" s="43" t="s">
        <v>748</v>
      </c>
      <c r="E168" s="43" t="s">
        <v>749</v>
      </c>
      <c r="F168" s="43" t="s">
        <v>750</v>
      </c>
      <c r="G168" s="46" t="s">
        <v>28</v>
      </c>
      <c r="H168" s="45"/>
      <c r="I168" s="45"/>
      <c r="J168" s="45"/>
      <c r="K168" s="46" t="s">
        <v>28</v>
      </c>
      <c r="L168" s="45"/>
      <c r="M168" s="45"/>
      <c r="N168" s="45"/>
      <c r="O168" s="45"/>
      <c r="P168" s="45"/>
      <c r="Q168" s="45"/>
      <c r="R168" s="45"/>
    </row>
    <row r="169" spans="1:18" ht="28.8" customHeight="1" x14ac:dyDescent="0.25">
      <c r="A169" s="43" t="s">
        <v>751</v>
      </c>
      <c r="B169" s="43" t="s">
        <v>752</v>
      </c>
      <c r="C169" s="43" t="s">
        <v>753</v>
      </c>
      <c r="D169" s="43" t="s">
        <v>754</v>
      </c>
      <c r="E169" s="43" t="s">
        <v>755</v>
      </c>
      <c r="F169" s="43" t="s">
        <v>259</v>
      </c>
      <c r="G169" s="46" t="s">
        <v>28</v>
      </c>
      <c r="H169" s="45"/>
      <c r="I169" s="45"/>
      <c r="J169" s="45"/>
      <c r="K169" s="46" t="s">
        <v>28</v>
      </c>
      <c r="L169" s="45"/>
      <c r="M169" s="45"/>
      <c r="N169" s="45"/>
      <c r="O169" s="45"/>
      <c r="P169" s="45"/>
      <c r="Q169" s="45"/>
      <c r="R169" s="45"/>
    </row>
    <row r="170" spans="1:18" ht="28.8" customHeight="1" x14ac:dyDescent="0.25">
      <c r="A170" s="43" t="s">
        <v>756</v>
      </c>
      <c r="B170" s="43" t="s">
        <v>757</v>
      </c>
      <c r="C170" s="43" t="s">
        <v>758</v>
      </c>
      <c r="D170" s="43" t="s">
        <v>754</v>
      </c>
      <c r="E170" s="43" t="s">
        <v>759</v>
      </c>
      <c r="F170" s="43" t="s">
        <v>259</v>
      </c>
      <c r="G170" s="46" t="s">
        <v>28</v>
      </c>
      <c r="H170" s="45"/>
      <c r="I170" s="45"/>
      <c r="J170" s="45"/>
      <c r="K170" s="46" t="s">
        <v>28</v>
      </c>
      <c r="L170" s="45"/>
      <c r="M170" s="45"/>
      <c r="N170" s="45"/>
      <c r="O170" s="45"/>
      <c r="P170" s="45"/>
      <c r="Q170" s="45"/>
      <c r="R170" s="45"/>
    </row>
    <row r="171" spans="1:18" ht="28.8" customHeight="1" x14ac:dyDescent="0.25">
      <c r="A171" s="43" t="s">
        <v>760</v>
      </c>
      <c r="B171" s="43" t="s">
        <v>761</v>
      </c>
      <c r="C171" s="43" t="s">
        <v>762</v>
      </c>
      <c r="D171" s="43" t="s">
        <v>754</v>
      </c>
      <c r="E171" s="43" t="s">
        <v>763</v>
      </c>
      <c r="F171" s="43" t="s">
        <v>259</v>
      </c>
      <c r="G171" s="46" t="s">
        <v>28</v>
      </c>
      <c r="H171" s="45"/>
      <c r="I171" s="45"/>
      <c r="J171" s="45"/>
      <c r="K171" s="46" t="s">
        <v>28</v>
      </c>
      <c r="L171" s="45"/>
      <c r="M171" s="45"/>
      <c r="N171" s="45"/>
      <c r="O171" s="45"/>
      <c r="P171" s="45"/>
      <c r="Q171" s="45"/>
      <c r="R171" s="45"/>
    </row>
    <row r="172" spans="1:18" ht="43.2" customHeight="1" x14ac:dyDescent="0.25">
      <c r="A172" s="43" t="s">
        <v>764</v>
      </c>
      <c r="B172" s="43" t="s">
        <v>765</v>
      </c>
      <c r="C172" s="43" t="s">
        <v>766</v>
      </c>
      <c r="D172" s="43" t="s">
        <v>754</v>
      </c>
      <c r="E172" s="43" t="s">
        <v>767</v>
      </c>
      <c r="F172" s="43"/>
      <c r="G172" s="46" t="s">
        <v>28</v>
      </c>
      <c r="H172" s="45"/>
      <c r="I172" s="45"/>
      <c r="J172" s="45"/>
      <c r="K172" s="46" t="s">
        <v>28</v>
      </c>
      <c r="L172" s="45"/>
      <c r="M172" s="45"/>
      <c r="N172" s="45"/>
      <c r="O172" s="45"/>
      <c r="P172" s="45"/>
      <c r="Q172" s="45"/>
      <c r="R172" s="45"/>
    </row>
    <row r="173" spans="1:18" ht="48.6" customHeight="1" x14ac:dyDescent="0.25">
      <c r="A173" s="43" t="s">
        <v>768</v>
      </c>
      <c r="B173" s="43" t="s">
        <v>769</v>
      </c>
      <c r="C173" s="43" t="s">
        <v>770</v>
      </c>
      <c r="D173" s="43" t="s">
        <v>771</v>
      </c>
      <c r="E173" s="43" t="s">
        <v>772</v>
      </c>
      <c r="F173" s="43" t="s">
        <v>259</v>
      </c>
      <c r="G173" s="46" t="s">
        <v>28</v>
      </c>
      <c r="H173" s="45"/>
      <c r="I173" s="45"/>
      <c r="J173" s="45"/>
      <c r="K173" s="46" t="s">
        <v>28</v>
      </c>
      <c r="L173" s="45"/>
      <c r="M173" s="45"/>
      <c r="N173" s="45"/>
      <c r="O173" s="45"/>
      <c r="P173" s="45"/>
      <c r="Q173" s="45"/>
      <c r="R173" s="45"/>
    </row>
    <row r="174" spans="1:18" ht="28.8" customHeight="1" x14ac:dyDescent="0.25">
      <c r="A174" s="43" t="s">
        <v>773</v>
      </c>
      <c r="B174" s="43" t="s">
        <v>774</v>
      </c>
      <c r="C174" s="43" t="s">
        <v>775</v>
      </c>
      <c r="D174" s="43" t="s">
        <v>776</v>
      </c>
      <c r="E174" s="43" t="s">
        <v>777</v>
      </c>
      <c r="F174" s="43" t="s">
        <v>778</v>
      </c>
      <c r="G174" s="46" t="s">
        <v>28</v>
      </c>
      <c r="H174" s="45"/>
      <c r="I174" s="45"/>
      <c r="J174" s="45"/>
      <c r="K174" s="46" t="s">
        <v>28</v>
      </c>
      <c r="L174" s="45"/>
      <c r="M174" s="45"/>
      <c r="N174" s="45"/>
      <c r="O174" s="45"/>
      <c r="P174" s="45"/>
      <c r="Q174" s="45"/>
      <c r="R174" s="45"/>
    </row>
    <row r="175" spans="1:18" ht="28.8" customHeight="1" x14ac:dyDescent="0.25">
      <c r="A175" s="43" t="s">
        <v>779</v>
      </c>
      <c r="B175" s="43" t="s">
        <v>780</v>
      </c>
      <c r="C175" s="43" t="s">
        <v>781</v>
      </c>
      <c r="D175" s="43" t="s">
        <v>776</v>
      </c>
      <c r="E175" s="43" t="s">
        <v>782</v>
      </c>
      <c r="F175" s="43" t="s">
        <v>783</v>
      </c>
      <c r="G175" s="46" t="s">
        <v>28</v>
      </c>
      <c r="H175" s="45"/>
      <c r="I175" s="45"/>
      <c r="J175" s="45"/>
      <c r="K175" s="46" t="s">
        <v>28</v>
      </c>
      <c r="L175" s="45"/>
      <c r="M175" s="45"/>
      <c r="N175" s="45"/>
      <c r="O175" s="45"/>
      <c r="P175" s="45"/>
      <c r="Q175" s="45"/>
      <c r="R175" s="45"/>
    </row>
    <row r="176" spans="1:18" ht="28.8" customHeight="1" x14ac:dyDescent="0.25">
      <c r="A176" s="43" t="s">
        <v>784</v>
      </c>
      <c r="B176" s="43" t="s">
        <v>785</v>
      </c>
      <c r="C176" s="43" t="s">
        <v>786</v>
      </c>
      <c r="D176" s="43" t="s">
        <v>776</v>
      </c>
      <c r="E176" s="43" t="s">
        <v>787</v>
      </c>
      <c r="F176" s="43" t="s">
        <v>783</v>
      </c>
      <c r="G176" s="46" t="s">
        <v>28</v>
      </c>
      <c r="H176" s="45"/>
      <c r="I176" s="45"/>
      <c r="J176" s="45"/>
      <c r="K176" s="46" t="s">
        <v>28</v>
      </c>
      <c r="L176" s="45"/>
      <c r="M176" s="45"/>
      <c r="N176" s="45"/>
      <c r="O176" s="45"/>
      <c r="P176" s="45"/>
      <c r="Q176" s="45"/>
      <c r="R176" s="45"/>
    </row>
    <row r="177" spans="1:18" ht="28.8" customHeight="1" x14ac:dyDescent="0.25">
      <c r="A177" s="43" t="s">
        <v>788</v>
      </c>
      <c r="B177" s="43" t="s">
        <v>789</v>
      </c>
      <c r="C177" s="43" t="s">
        <v>790</v>
      </c>
      <c r="D177" s="43" t="s">
        <v>776</v>
      </c>
      <c r="E177" s="43" t="s">
        <v>791</v>
      </c>
      <c r="F177" s="43" t="s">
        <v>783</v>
      </c>
      <c r="G177" s="46" t="s">
        <v>28</v>
      </c>
      <c r="H177" s="45"/>
      <c r="I177" s="45"/>
      <c r="J177" s="45"/>
      <c r="K177" s="46" t="s">
        <v>28</v>
      </c>
      <c r="L177" s="45"/>
      <c r="M177" s="45"/>
      <c r="N177" s="45"/>
      <c r="O177" s="45"/>
      <c r="P177" s="45"/>
      <c r="Q177" s="45"/>
      <c r="R177" s="45"/>
    </row>
    <row r="178" spans="1:18" ht="28.8" customHeight="1" x14ac:dyDescent="0.25">
      <c r="A178" s="43" t="s">
        <v>792</v>
      </c>
      <c r="B178" s="43" t="s">
        <v>793</v>
      </c>
      <c r="C178" s="43" t="s">
        <v>794</v>
      </c>
      <c r="D178" s="43" t="s">
        <v>776</v>
      </c>
      <c r="E178" s="43" t="s">
        <v>795</v>
      </c>
      <c r="F178" s="43"/>
      <c r="G178" s="46" t="s">
        <v>28</v>
      </c>
      <c r="H178" s="45"/>
      <c r="I178" s="45"/>
      <c r="J178" s="45"/>
      <c r="K178" s="46" t="s">
        <v>28</v>
      </c>
      <c r="L178" s="45"/>
      <c r="M178" s="45"/>
      <c r="N178" s="45"/>
      <c r="O178" s="45"/>
      <c r="P178" s="45"/>
      <c r="Q178" s="45"/>
      <c r="R178" s="45"/>
    </row>
    <row r="179" spans="1:18" ht="43.2" customHeight="1" x14ac:dyDescent="0.25">
      <c r="A179" s="43" t="s">
        <v>796</v>
      </c>
      <c r="B179" s="43" t="s">
        <v>797</v>
      </c>
      <c r="C179" s="43" t="s">
        <v>798</v>
      </c>
      <c r="D179" s="43" t="s">
        <v>799</v>
      </c>
      <c r="E179" s="43" t="s">
        <v>800</v>
      </c>
      <c r="F179" s="43" t="s">
        <v>801</v>
      </c>
      <c r="G179" s="46" t="s">
        <v>28</v>
      </c>
      <c r="H179" s="45"/>
      <c r="I179" s="45"/>
      <c r="J179" s="45"/>
      <c r="K179" s="46" t="s">
        <v>28</v>
      </c>
      <c r="L179" s="45"/>
      <c r="M179" s="45"/>
      <c r="N179" s="45"/>
      <c r="O179" s="45"/>
      <c r="P179" s="45"/>
      <c r="Q179" s="45"/>
      <c r="R179" s="45"/>
    </row>
    <row r="180" spans="1:18" ht="28.8" customHeight="1" x14ac:dyDescent="0.25">
      <c r="A180" s="43" t="s">
        <v>802</v>
      </c>
      <c r="B180" s="43" t="s">
        <v>803</v>
      </c>
      <c r="C180" s="43" t="s">
        <v>804</v>
      </c>
      <c r="D180" s="43" t="s">
        <v>805</v>
      </c>
      <c r="E180" s="43" t="s">
        <v>806</v>
      </c>
      <c r="F180" s="43" t="s">
        <v>294</v>
      </c>
      <c r="G180" s="46" t="s">
        <v>28</v>
      </c>
      <c r="H180" s="45"/>
      <c r="I180" s="45"/>
      <c r="J180" s="45"/>
      <c r="K180" s="46" t="s">
        <v>28</v>
      </c>
      <c r="L180" s="45"/>
      <c r="M180" s="45"/>
      <c r="N180" s="45"/>
      <c r="O180" s="45"/>
      <c r="P180" s="45"/>
      <c r="Q180" s="45"/>
      <c r="R180" s="45"/>
    </row>
    <row r="181" spans="1:18" ht="28.8" customHeight="1" x14ac:dyDescent="0.25">
      <c r="A181" s="43" t="s">
        <v>807</v>
      </c>
      <c r="B181" s="43" t="s">
        <v>808</v>
      </c>
      <c r="C181" s="43" t="s">
        <v>809</v>
      </c>
      <c r="D181" s="43" t="s">
        <v>810</v>
      </c>
      <c r="E181" s="43" t="s">
        <v>811</v>
      </c>
      <c r="F181" s="43" t="s">
        <v>368</v>
      </c>
      <c r="G181" s="46" t="s">
        <v>28</v>
      </c>
      <c r="H181" s="45"/>
      <c r="I181" s="45"/>
      <c r="J181" s="45"/>
      <c r="K181" s="46" t="s">
        <v>28</v>
      </c>
      <c r="L181" s="45"/>
      <c r="M181" s="45"/>
      <c r="N181" s="45"/>
      <c r="O181" s="45"/>
      <c r="P181" s="45"/>
      <c r="Q181" s="45"/>
      <c r="R181" s="45"/>
    </row>
    <row r="182" spans="1:18" ht="28.8" customHeight="1" x14ac:dyDescent="0.25">
      <c r="A182" s="43" t="s">
        <v>812</v>
      </c>
      <c r="B182" s="43" t="s">
        <v>813</v>
      </c>
      <c r="C182" s="43" t="s">
        <v>814</v>
      </c>
      <c r="D182" s="43" t="s">
        <v>815</v>
      </c>
      <c r="E182" s="43" t="s">
        <v>816</v>
      </c>
      <c r="F182" s="43"/>
      <c r="G182" s="46" t="s">
        <v>28</v>
      </c>
      <c r="H182" s="45"/>
      <c r="I182" s="45"/>
      <c r="J182" s="45"/>
      <c r="K182" s="46" t="s">
        <v>28</v>
      </c>
      <c r="L182" s="45"/>
      <c r="M182" s="45"/>
      <c r="N182" s="45"/>
      <c r="O182" s="45"/>
      <c r="P182" s="45"/>
      <c r="Q182" s="45"/>
      <c r="R182" s="45"/>
    </row>
    <row r="183" spans="1:18" ht="43.2" customHeight="1" x14ac:dyDescent="0.25">
      <c r="A183" s="43" t="s">
        <v>817</v>
      </c>
      <c r="B183" s="43" t="s">
        <v>818</v>
      </c>
      <c r="C183" s="43" t="s">
        <v>798</v>
      </c>
      <c r="D183" s="43" t="s">
        <v>819</v>
      </c>
      <c r="E183" s="43" t="s">
        <v>820</v>
      </c>
      <c r="F183" s="43" t="s">
        <v>308</v>
      </c>
      <c r="G183" s="46" t="s">
        <v>28</v>
      </c>
      <c r="H183" s="45"/>
      <c r="I183" s="45"/>
      <c r="J183" s="45"/>
      <c r="K183" s="46" t="s">
        <v>28</v>
      </c>
      <c r="L183" s="45"/>
      <c r="M183" s="45"/>
      <c r="N183" s="45"/>
      <c r="O183" s="45"/>
      <c r="P183" s="45"/>
      <c r="Q183" s="45"/>
      <c r="R183" s="45"/>
    </row>
    <row r="184" spans="1:18" ht="28.8" customHeight="1" x14ac:dyDescent="0.25">
      <c r="A184" s="43" t="s">
        <v>821</v>
      </c>
      <c r="B184" s="43" t="s">
        <v>822</v>
      </c>
      <c r="C184" s="43" t="s">
        <v>823</v>
      </c>
      <c r="D184" s="43" t="s">
        <v>824</v>
      </c>
      <c r="E184" s="43" t="s">
        <v>825</v>
      </c>
      <c r="F184" s="43" t="s">
        <v>826</v>
      </c>
      <c r="G184" s="46" t="s">
        <v>28</v>
      </c>
      <c r="H184" s="45"/>
      <c r="I184" s="45"/>
      <c r="J184" s="45"/>
      <c r="K184" s="46" t="s">
        <v>28</v>
      </c>
      <c r="L184" s="45"/>
      <c r="M184" s="45"/>
      <c r="N184" s="45"/>
      <c r="O184" s="45"/>
      <c r="P184" s="45"/>
      <c r="Q184" s="45"/>
      <c r="R184" s="45"/>
    </row>
    <row r="185" spans="1:18" ht="43.2" customHeight="1" x14ac:dyDescent="0.25">
      <c r="A185" s="43" t="s">
        <v>827</v>
      </c>
      <c r="B185" s="43" t="s">
        <v>828</v>
      </c>
      <c r="C185" s="43" t="s">
        <v>829</v>
      </c>
      <c r="D185" s="43" t="s">
        <v>830</v>
      </c>
      <c r="E185" s="43" t="s">
        <v>831</v>
      </c>
      <c r="F185" s="43"/>
      <c r="G185" s="46" t="s">
        <v>28</v>
      </c>
      <c r="H185" s="45"/>
      <c r="I185" s="45"/>
      <c r="J185" s="45"/>
      <c r="K185" s="46" t="s">
        <v>28</v>
      </c>
      <c r="L185" s="45"/>
      <c r="M185" s="45"/>
      <c r="N185" s="45"/>
      <c r="O185" s="45"/>
      <c r="P185" s="45"/>
      <c r="Q185" s="45"/>
      <c r="R185" s="45"/>
    </row>
    <row r="186" spans="1:18" ht="28.8" customHeight="1" x14ac:dyDescent="0.25">
      <c r="A186" s="43" t="s">
        <v>832</v>
      </c>
      <c r="B186" s="43" t="s">
        <v>833</v>
      </c>
      <c r="C186" s="43" t="s">
        <v>834</v>
      </c>
      <c r="D186" s="43" t="s">
        <v>835</v>
      </c>
      <c r="E186" s="43" t="s">
        <v>836</v>
      </c>
      <c r="F186" s="43" t="s">
        <v>149</v>
      </c>
      <c r="G186" s="46" t="s">
        <v>28</v>
      </c>
      <c r="H186" s="45"/>
      <c r="I186" s="45"/>
      <c r="J186" s="45"/>
      <c r="K186" s="46" t="s">
        <v>28</v>
      </c>
      <c r="L186" s="45"/>
      <c r="M186" s="45"/>
      <c r="N186" s="45"/>
      <c r="O186" s="45"/>
      <c r="P186" s="45"/>
      <c r="Q186" s="45"/>
      <c r="R186" s="45"/>
    </row>
    <row r="187" spans="1:18" ht="28.8" customHeight="1" x14ac:dyDescent="0.25">
      <c r="A187" s="43" t="s">
        <v>837</v>
      </c>
      <c r="B187" s="43" t="s">
        <v>838</v>
      </c>
      <c r="C187" s="43" t="s">
        <v>839</v>
      </c>
      <c r="D187" s="43" t="s">
        <v>840</v>
      </c>
      <c r="E187" s="43" t="s">
        <v>841</v>
      </c>
      <c r="F187" s="43" t="s">
        <v>842</v>
      </c>
      <c r="G187" s="46" t="s">
        <v>28</v>
      </c>
      <c r="H187" s="45"/>
      <c r="I187" s="45"/>
      <c r="J187" s="45"/>
      <c r="K187" s="46" t="s">
        <v>28</v>
      </c>
      <c r="L187" s="45"/>
      <c r="M187" s="45"/>
      <c r="N187" s="45"/>
      <c r="O187" s="45"/>
      <c r="P187" s="45"/>
      <c r="Q187" s="45"/>
      <c r="R187" s="45"/>
    </row>
    <row r="188" spans="1:18" ht="28.8" customHeight="1" x14ac:dyDescent="0.25">
      <c r="A188" s="43" t="s">
        <v>843</v>
      </c>
      <c r="B188" s="43" t="s">
        <v>844</v>
      </c>
      <c r="C188" s="43" t="s">
        <v>845</v>
      </c>
      <c r="D188" s="43" t="s">
        <v>846</v>
      </c>
      <c r="E188" s="43" t="s">
        <v>847</v>
      </c>
      <c r="F188" s="43" t="s">
        <v>842</v>
      </c>
      <c r="G188" s="46" t="s">
        <v>28</v>
      </c>
      <c r="H188" s="45"/>
      <c r="I188" s="45"/>
      <c r="J188" s="45"/>
      <c r="K188" s="46" t="s">
        <v>28</v>
      </c>
      <c r="L188" s="45"/>
      <c r="M188" s="45"/>
      <c r="N188" s="45"/>
      <c r="O188" s="45"/>
      <c r="P188" s="45"/>
      <c r="Q188" s="45"/>
      <c r="R188" s="45"/>
    </row>
    <row r="189" spans="1:18" ht="28.8" customHeight="1" x14ac:dyDescent="0.25">
      <c r="A189" s="43" t="s">
        <v>848</v>
      </c>
      <c r="B189" s="43" t="s">
        <v>849</v>
      </c>
      <c r="C189" s="43" t="s">
        <v>850</v>
      </c>
      <c r="D189" s="43" t="s">
        <v>851</v>
      </c>
      <c r="E189" s="43" t="s">
        <v>852</v>
      </c>
      <c r="F189" s="43" t="s">
        <v>853</v>
      </c>
      <c r="G189" s="46" t="s">
        <v>28</v>
      </c>
      <c r="H189" s="45"/>
      <c r="I189" s="45"/>
      <c r="J189" s="45"/>
      <c r="K189" s="46" t="s">
        <v>28</v>
      </c>
      <c r="L189" s="45"/>
      <c r="M189" s="45"/>
      <c r="N189" s="45"/>
      <c r="O189" s="45"/>
      <c r="P189" s="45"/>
      <c r="Q189" s="45"/>
      <c r="R189" s="45"/>
    </row>
    <row r="190" spans="1:18" ht="28.8" customHeight="1" x14ac:dyDescent="0.25">
      <c r="A190" s="43" t="s">
        <v>854</v>
      </c>
      <c r="B190" s="43" t="s">
        <v>855</v>
      </c>
      <c r="C190" s="43" t="s">
        <v>856</v>
      </c>
      <c r="D190" s="43" t="s">
        <v>857</v>
      </c>
      <c r="E190" s="43" t="s">
        <v>858</v>
      </c>
      <c r="F190" s="43" t="s">
        <v>853</v>
      </c>
      <c r="G190" s="46" t="s">
        <v>28</v>
      </c>
      <c r="H190" s="45"/>
      <c r="I190" s="45"/>
      <c r="J190" s="45"/>
      <c r="K190" s="46" t="s">
        <v>28</v>
      </c>
      <c r="L190" s="45"/>
      <c r="M190" s="45"/>
      <c r="N190" s="45"/>
      <c r="O190" s="45"/>
      <c r="P190" s="45"/>
      <c r="Q190" s="45"/>
      <c r="R190" s="45"/>
    </row>
    <row r="191" spans="1:18" ht="28.8" customHeight="1" x14ac:dyDescent="0.25">
      <c r="A191" s="43" t="s">
        <v>859</v>
      </c>
      <c r="B191" s="43" t="s">
        <v>860</v>
      </c>
      <c r="C191" s="43" t="s">
        <v>861</v>
      </c>
      <c r="D191" s="43" t="s">
        <v>862</v>
      </c>
      <c r="E191" s="43" t="s">
        <v>863</v>
      </c>
      <c r="F191" s="43" t="s">
        <v>853</v>
      </c>
      <c r="G191" s="46" t="s">
        <v>28</v>
      </c>
      <c r="H191" s="45"/>
      <c r="I191" s="45"/>
      <c r="J191" s="45"/>
      <c r="K191" s="46" t="s">
        <v>28</v>
      </c>
      <c r="L191" s="45"/>
      <c r="M191" s="45"/>
      <c r="N191" s="45"/>
      <c r="O191" s="45"/>
      <c r="P191" s="45"/>
      <c r="Q191" s="45"/>
      <c r="R191" s="45"/>
    </row>
    <row r="192" spans="1:18" ht="28.8" customHeight="1" x14ac:dyDescent="0.25">
      <c r="A192" s="43" t="s">
        <v>864</v>
      </c>
      <c r="B192" s="43" t="s">
        <v>865</v>
      </c>
      <c r="C192" s="43" t="s">
        <v>866</v>
      </c>
      <c r="D192" s="43" t="s">
        <v>867</v>
      </c>
      <c r="E192" s="43" t="s">
        <v>868</v>
      </c>
      <c r="F192" s="43" t="s">
        <v>853</v>
      </c>
      <c r="G192" s="46" t="s">
        <v>28</v>
      </c>
      <c r="H192" s="45"/>
      <c r="I192" s="45"/>
      <c r="J192" s="45"/>
      <c r="K192" s="46" t="s">
        <v>28</v>
      </c>
      <c r="L192" s="45"/>
      <c r="M192" s="45"/>
      <c r="N192" s="45"/>
      <c r="O192" s="45"/>
      <c r="P192" s="45"/>
      <c r="Q192" s="45"/>
      <c r="R192" s="45"/>
    </row>
    <row r="193" spans="1:18" ht="43.2" customHeight="1" x14ac:dyDescent="0.25">
      <c r="A193" s="43" t="s">
        <v>869</v>
      </c>
      <c r="B193" s="43" t="s">
        <v>870</v>
      </c>
      <c r="C193" s="43" t="s">
        <v>871</v>
      </c>
      <c r="D193" s="43" t="s">
        <v>867</v>
      </c>
      <c r="E193" s="43" t="s">
        <v>872</v>
      </c>
      <c r="F193" s="43" t="s">
        <v>853</v>
      </c>
      <c r="G193" s="46" t="s">
        <v>28</v>
      </c>
      <c r="H193" s="45"/>
      <c r="I193" s="45"/>
      <c r="J193" s="45"/>
      <c r="K193" s="46" t="s">
        <v>28</v>
      </c>
      <c r="L193" s="45"/>
      <c r="M193" s="45"/>
      <c r="N193" s="45"/>
      <c r="O193" s="45"/>
      <c r="P193" s="45"/>
      <c r="Q193" s="45"/>
      <c r="R193" s="45"/>
    </row>
    <row r="194" spans="1:18" ht="43.2" customHeight="1" x14ac:dyDescent="0.25">
      <c r="A194" s="43" t="s">
        <v>873</v>
      </c>
      <c r="B194" s="43" t="s">
        <v>874</v>
      </c>
      <c r="C194" s="43" t="s">
        <v>875</v>
      </c>
      <c r="D194" s="43" t="s">
        <v>876</v>
      </c>
      <c r="E194" s="43" t="s">
        <v>877</v>
      </c>
      <c r="F194" s="43" t="s">
        <v>374</v>
      </c>
      <c r="G194" s="46" t="s">
        <v>28</v>
      </c>
      <c r="H194" s="45"/>
      <c r="I194" s="45"/>
      <c r="J194" s="45"/>
      <c r="K194" s="46" t="s">
        <v>28</v>
      </c>
      <c r="L194" s="45"/>
      <c r="M194" s="45"/>
      <c r="N194" s="45"/>
      <c r="O194" s="45"/>
      <c r="P194" s="45"/>
      <c r="Q194" s="45"/>
      <c r="R194" s="45"/>
    </row>
    <row r="195" spans="1:18" ht="43.2" customHeight="1" x14ac:dyDescent="0.25">
      <c r="A195" s="43" t="s">
        <v>878</v>
      </c>
      <c r="B195" s="43" t="s">
        <v>879</v>
      </c>
      <c r="C195" s="43" t="s">
        <v>875</v>
      </c>
      <c r="D195" s="43" t="s">
        <v>880</v>
      </c>
      <c r="E195" s="43" t="s">
        <v>881</v>
      </c>
      <c r="F195" s="43" t="s">
        <v>374</v>
      </c>
      <c r="G195" s="46" t="s">
        <v>28</v>
      </c>
      <c r="H195" s="45"/>
      <c r="I195" s="45"/>
      <c r="J195" s="45"/>
      <c r="K195" s="46" t="s">
        <v>28</v>
      </c>
      <c r="L195" s="45"/>
      <c r="M195" s="45"/>
      <c r="N195" s="45"/>
      <c r="O195" s="45"/>
      <c r="P195" s="45"/>
      <c r="Q195" s="45"/>
      <c r="R195" s="45"/>
    </row>
    <row r="196" spans="1:18" ht="57.6" customHeight="1" x14ac:dyDescent="0.25">
      <c r="A196" s="43" t="s">
        <v>882</v>
      </c>
      <c r="B196" s="43" t="s">
        <v>883</v>
      </c>
      <c r="C196" s="43" t="s">
        <v>798</v>
      </c>
      <c r="D196" s="43" t="s">
        <v>884</v>
      </c>
      <c r="E196" s="43" t="s">
        <v>885</v>
      </c>
      <c r="F196" s="43" t="s">
        <v>308</v>
      </c>
      <c r="G196" s="46" t="s">
        <v>28</v>
      </c>
      <c r="H196" s="45"/>
      <c r="I196" s="45"/>
      <c r="J196" s="45"/>
      <c r="K196" s="46" t="s">
        <v>28</v>
      </c>
      <c r="L196" s="45"/>
      <c r="M196" s="45"/>
      <c r="N196" s="45"/>
      <c r="O196" s="45"/>
      <c r="P196" s="45"/>
      <c r="Q196" s="45"/>
      <c r="R196" s="45"/>
    </row>
    <row r="197" spans="1:18" s="54" customFormat="1" ht="57.6" customHeight="1" x14ac:dyDescent="0.25">
      <c r="A197" s="48" t="s">
        <v>886</v>
      </c>
      <c r="B197" s="48" t="s">
        <v>887</v>
      </c>
      <c r="C197" s="64" t="s">
        <v>392</v>
      </c>
      <c r="D197" s="64" t="s">
        <v>888</v>
      </c>
      <c r="E197" s="64" t="s">
        <v>889</v>
      </c>
      <c r="F197" s="64" t="s">
        <v>308</v>
      </c>
      <c r="G197" s="46" t="s">
        <v>28</v>
      </c>
      <c r="H197" s="45"/>
      <c r="I197" s="45"/>
      <c r="J197" s="45"/>
      <c r="K197" s="46" t="s">
        <v>28</v>
      </c>
      <c r="L197" s="53"/>
      <c r="M197" s="53"/>
      <c r="N197" s="53"/>
      <c r="O197" s="53"/>
      <c r="P197" s="53"/>
      <c r="Q197" s="53"/>
      <c r="R197" s="53"/>
    </row>
    <row r="198" spans="1:18" ht="14.4" customHeight="1" x14ac:dyDescent="0.25">
      <c r="A198" s="58"/>
      <c r="B198" s="101" t="s">
        <v>395</v>
      </c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6"/>
    </row>
    <row r="199" spans="1:18" ht="18.600000000000001" customHeight="1" x14ac:dyDescent="0.25">
      <c r="A199" s="61"/>
      <c r="B199" s="103" t="s">
        <v>396</v>
      </c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6"/>
    </row>
    <row r="200" spans="1:18" ht="43.2" customHeight="1" x14ac:dyDescent="0.25">
      <c r="A200" s="43" t="s">
        <v>890</v>
      </c>
      <c r="B200" s="43" t="s">
        <v>891</v>
      </c>
      <c r="C200" s="43" t="s">
        <v>892</v>
      </c>
      <c r="D200" s="43" t="s">
        <v>400</v>
      </c>
      <c r="E200" s="43" t="s">
        <v>401</v>
      </c>
      <c r="F200" s="43"/>
      <c r="G200" s="46" t="s">
        <v>28</v>
      </c>
      <c r="H200" s="45"/>
      <c r="I200" s="45"/>
      <c r="J200" s="45"/>
      <c r="K200" s="46" t="s">
        <v>28</v>
      </c>
      <c r="L200" s="45"/>
      <c r="M200" s="45"/>
      <c r="N200" s="45"/>
      <c r="O200" s="45"/>
      <c r="P200" s="45"/>
      <c r="Q200" s="45"/>
      <c r="R200" s="45"/>
    </row>
    <row r="201" spans="1:18" ht="72" customHeight="1" x14ac:dyDescent="0.25">
      <c r="A201" s="43" t="s">
        <v>893</v>
      </c>
      <c r="B201" s="43" t="s">
        <v>894</v>
      </c>
      <c r="C201" s="43" t="s">
        <v>892</v>
      </c>
      <c r="D201" s="43" t="s">
        <v>404</v>
      </c>
      <c r="E201" s="43" t="s">
        <v>405</v>
      </c>
      <c r="F201" s="43"/>
      <c r="G201" s="46" t="s">
        <v>28</v>
      </c>
      <c r="H201" s="45"/>
      <c r="I201" s="45"/>
      <c r="J201" s="45"/>
      <c r="K201" s="46" t="s">
        <v>28</v>
      </c>
      <c r="L201" s="45"/>
      <c r="M201" s="45"/>
      <c r="N201" s="45"/>
      <c r="O201" s="45"/>
      <c r="P201" s="45"/>
      <c r="Q201" s="45"/>
      <c r="R201" s="45"/>
    </row>
    <row r="202" spans="1:18" ht="43.2" customHeight="1" x14ac:dyDescent="0.25">
      <c r="A202" s="43" t="s">
        <v>895</v>
      </c>
      <c r="B202" s="43" t="s">
        <v>896</v>
      </c>
      <c r="C202" s="43" t="s">
        <v>892</v>
      </c>
      <c r="D202" s="43" t="s">
        <v>408</v>
      </c>
      <c r="E202" s="43" t="s">
        <v>409</v>
      </c>
      <c r="F202" s="43"/>
      <c r="G202" s="46" t="s">
        <v>28</v>
      </c>
      <c r="H202" s="45"/>
      <c r="I202" s="45"/>
      <c r="J202" s="45"/>
      <c r="K202" s="46" t="s">
        <v>28</v>
      </c>
      <c r="L202" s="45"/>
      <c r="M202" s="45"/>
      <c r="N202" s="45"/>
      <c r="O202" s="45"/>
      <c r="P202" s="45"/>
      <c r="Q202" s="45"/>
      <c r="R202" s="45"/>
    </row>
    <row r="203" spans="1:18" ht="43.2" customHeight="1" x14ac:dyDescent="0.25">
      <c r="A203" s="43" t="s">
        <v>897</v>
      </c>
      <c r="B203" s="43" t="s">
        <v>898</v>
      </c>
      <c r="C203" s="43" t="s">
        <v>892</v>
      </c>
      <c r="D203" s="43" t="s">
        <v>412</v>
      </c>
      <c r="E203" s="43" t="s">
        <v>413</v>
      </c>
      <c r="F203" s="43"/>
      <c r="G203" s="46" t="s">
        <v>28</v>
      </c>
      <c r="H203" s="45"/>
      <c r="I203" s="45"/>
      <c r="J203" s="45"/>
      <c r="K203" s="46" t="s">
        <v>28</v>
      </c>
      <c r="L203" s="45"/>
      <c r="M203" s="45"/>
      <c r="N203" s="45"/>
      <c r="O203" s="45"/>
      <c r="P203" s="45"/>
      <c r="Q203" s="45"/>
      <c r="R203" s="45"/>
    </row>
    <row r="204" spans="1:18" ht="43.2" customHeight="1" x14ac:dyDescent="0.25">
      <c r="A204" s="43" t="s">
        <v>899</v>
      </c>
      <c r="B204" s="43" t="s">
        <v>900</v>
      </c>
      <c r="C204" s="43" t="s">
        <v>892</v>
      </c>
      <c r="D204" s="43" t="s">
        <v>416</v>
      </c>
      <c r="E204" s="43" t="s">
        <v>413</v>
      </c>
      <c r="F204" s="43"/>
      <c r="G204" s="46" t="s">
        <v>28</v>
      </c>
      <c r="H204" s="45"/>
      <c r="I204" s="45"/>
      <c r="J204" s="45"/>
      <c r="K204" s="46" t="s">
        <v>28</v>
      </c>
      <c r="L204" s="45"/>
      <c r="M204" s="45"/>
      <c r="N204" s="45"/>
      <c r="O204" s="45"/>
      <c r="P204" s="45"/>
      <c r="Q204" s="45"/>
      <c r="R204" s="45"/>
    </row>
    <row r="205" spans="1:18" ht="42.6" customHeight="1" x14ac:dyDescent="0.25">
      <c r="A205" s="43" t="s">
        <v>901</v>
      </c>
      <c r="B205" s="43" t="s">
        <v>902</v>
      </c>
      <c r="C205" s="43" t="s">
        <v>892</v>
      </c>
      <c r="D205" s="43" t="s">
        <v>419</v>
      </c>
      <c r="E205" s="43" t="s">
        <v>420</v>
      </c>
      <c r="F205" s="43"/>
      <c r="G205" s="46" t="s">
        <v>28</v>
      </c>
      <c r="H205" s="45"/>
      <c r="I205" s="45"/>
      <c r="J205" s="45"/>
      <c r="K205" s="46" t="s">
        <v>28</v>
      </c>
      <c r="L205" s="45"/>
      <c r="M205" s="45"/>
      <c r="N205" s="45"/>
      <c r="O205" s="45"/>
      <c r="P205" s="45"/>
      <c r="Q205" s="45"/>
      <c r="R205" s="45"/>
    </row>
    <row r="206" spans="1:18" ht="28.8" customHeight="1" x14ac:dyDescent="0.25">
      <c r="A206" s="43" t="s">
        <v>903</v>
      </c>
      <c r="B206" s="43" t="s">
        <v>904</v>
      </c>
      <c r="C206" s="43" t="s">
        <v>892</v>
      </c>
      <c r="D206" s="43" t="s">
        <v>423</v>
      </c>
      <c r="E206" s="43" t="s">
        <v>424</v>
      </c>
      <c r="F206" s="43"/>
      <c r="G206" s="46" t="s">
        <v>28</v>
      </c>
      <c r="H206" s="45"/>
      <c r="I206" s="45"/>
      <c r="J206" s="45"/>
      <c r="K206" s="46" t="s">
        <v>28</v>
      </c>
      <c r="L206" s="45"/>
      <c r="M206" s="45"/>
      <c r="N206" s="45"/>
      <c r="O206" s="45"/>
      <c r="P206" s="45"/>
      <c r="Q206" s="45"/>
      <c r="R206" s="45"/>
    </row>
    <row r="207" spans="1:18" s="52" customFormat="1" ht="36.6" customHeight="1" x14ac:dyDescent="0.25">
      <c r="A207" s="48" t="s">
        <v>905</v>
      </c>
      <c r="B207" s="48" t="s">
        <v>906</v>
      </c>
      <c r="C207" s="64" t="s">
        <v>892</v>
      </c>
      <c r="D207" s="64" t="s">
        <v>427</v>
      </c>
      <c r="E207" s="64" t="s">
        <v>424</v>
      </c>
      <c r="F207" s="51"/>
      <c r="G207" s="46" t="s">
        <v>28</v>
      </c>
      <c r="H207" s="51"/>
      <c r="I207" s="51"/>
      <c r="J207" s="51"/>
      <c r="K207" s="46" t="s">
        <v>28</v>
      </c>
      <c r="L207" s="51"/>
      <c r="M207" s="51"/>
      <c r="N207" s="51"/>
      <c r="O207" s="51"/>
      <c r="P207" s="51"/>
      <c r="Q207" s="51"/>
      <c r="R207" s="51"/>
    </row>
    <row r="208" spans="1:18" ht="14.4" x14ac:dyDescent="0.25">
      <c r="A208" s="61"/>
      <c r="B208" s="103" t="s">
        <v>428</v>
      </c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6"/>
    </row>
    <row r="209" spans="1:18" ht="43.2" customHeight="1" x14ac:dyDescent="0.25">
      <c r="A209" s="43" t="s">
        <v>907</v>
      </c>
      <c r="B209" s="43" t="s">
        <v>908</v>
      </c>
      <c r="C209" s="43" t="s">
        <v>892</v>
      </c>
      <c r="D209" s="43" t="s">
        <v>431</v>
      </c>
      <c r="E209" s="43" t="s">
        <v>432</v>
      </c>
      <c r="F209" s="43"/>
      <c r="G209" s="46" t="s">
        <v>28</v>
      </c>
      <c r="H209" s="45"/>
      <c r="I209" s="45"/>
      <c r="J209" s="45"/>
      <c r="K209" s="46" t="s">
        <v>28</v>
      </c>
      <c r="L209" s="45"/>
      <c r="M209" s="45"/>
      <c r="N209" s="45"/>
      <c r="O209" s="45"/>
      <c r="P209" s="45"/>
      <c r="Q209" s="45"/>
      <c r="R209" s="45"/>
    </row>
    <row r="210" spans="1:18" ht="57.6" customHeight="1" x14ac:dyDescent="0.25">
      <c r="A210" s="43" t="s">
        <v>909</v>
      </c>
      <c r="B210" s="43" t="s">
        <v>910</v>
      </c>
      <c r="C210" s="43" t="s">
        <v>892</v>
      </c>
      <c r="D210" s="43" t="s">
        <v>435</v>
      </c>
      <c r="E210" s="43" t="s">
        <v>432</v>
      </c>
      <c r="F210" s="43"/>
      <c r="G210" s="46" t="s">
        <v>28</v>
      </c>
      <c r="H210" s="45"/>
      <c r="I210" s="45"/>
      <c r="J210" s="45"/>
      <c r="K210" s="46" t="s">
        <v>28</v>
      </c>
      <c r="L210" s="45"/>
      <c r="M210" s="45"/>
      <c r="N210" s="45"/>
      <c r="O210" s="45"/>
      <c r="P210" s="45"/>
      <c r="Q210" s="45"/>
      <c r="R210" s="45"/>
    </row>
    <row r="211" spans="1:18" ht="57.6" customHeight="1" x14ac:dyDescent="0.25">
      <c r="A211" s="43" t="s">
        <v>911</v>
      </c>
      <c r="B211" s="43" t="s">
        <v>912</v>
      </c>
      <c r="C211" s="43" t="s">
        <v>892</v>
      </c>
      <c r="D211" s="43" t="s">
        <v>438</v>
      </c>
      <c r="E211" s="43" t="s">
        <v>439</v>
      </c>
      <c r="F211" s="43"/>
      <c r="G211" s="46" t="s">
        <v>28</v>
      </c>
      <c r="H211" s="45"/>
      <c r="I211" s="45"/>
      <c r="J211" s="45"/>
      <c r="K211" s="46" t="s">
        <v>28</v>
      </c>
      <c r="L211" s="45"/>
      <c r="M211" s="45"/>
      <c r="N211" s="45"/>
      <c r="O211" s="45"/>
      <c r="P211" s="45"/>
      <c r="Q211" s="45"/>
      <c r="R211" s="45"/>
    </row>
    <row r="212" spans="1:18" ht="57.6" customHeight="1" x14ac:dyDescent="0.25">
      <c r="A212" s="43" t="s">
        <v>913</v>
      </c>
      <c r="B212" s="43" t="s">
        <v>914</v>
      </c>
      <c r="C212" s="43" t="s">
        <v>892</v>
      </c>
      <c r="D212" s="43" t="s">
        <v>442</v>
      </c>
      <c r="E212" s="43" t="s">
        <v>443</v>
      </c>
      <c r="F212" s="43"/>
      <c r="G212" s="46" t="s">
        <v>28</v>
      </c>
      <c r="H212" s="45"/>
      <c r="I212" s="45"/>
      <c r="J212" s="45"/>
      <c r="K212" s="46" t="s">
        <v>28</v>
      </c>
      <c r="L212" s="45"/>
      <c r="M212" s="45"/>
      <c r="N212" s="45"/>
      <c r="O212" s="45"/>
      <c r="P212" s="45"/>
      <c r="Q212" s="45"/>
      <c r="R212" s="45"/>
    </row>
    <row r="213" spans="1:18" ht="57.6" customHeight="1" x14ac:dyDescent="0.25">
      <c r="A213" s="43" t="s">
        <v>915</v>
      </c>
      <c r="B213" s="43" t="s">
        <v>916</v>
      </c>
      <c r="C213" s="43" t="s">
        <v>892</v>
      </c>
      <c r="D213" s="43" t="s">
        <v>446</v>
      </c>
      <c r="E213" s="43" t="s">
        <v>447</v>
      </c>
      <c r="F213" s="43"/>
      <c r="G213" s="46" t="s">
        <v>28</v>
      </c>
      <c r="H213" s="45"/>
      <c r="I213" s="45"/>
      <c r="J213" s="45"/>
      <c r="K213" s="46" t="s">
        <v>28</v>
      </c>
      <c r="L213" s="45"/>
      <c r="M213" s="45"/>
      <c r="N213" s="45"/>
      <c r="O213" s="45"/>
      <c r="P213" s="45"/>
      <c r="Q213" s="45"/>
      <c r="R213" s="45"/>
    </row>
    <row r="214" spans="1:18" ht="57.6" customHeight="1" x14ac:dyDescent="0.25">
      <c r="A214" s="43" t="s">
        <v>917</v>
      </c>
      <c r="B214" s="43" t="s">
        <v>918</v>
      </c>
      <c r="C214" s="43" t="s">
        <v>892</v>
      </c>
      <c r="D214" s="43" t="s">
        <v>450</v>
      </c>
      <c r="E214" s="43" t="s">
        <v>451</v>
      </c>
      <c r="F214" s="43"/>
      <c r="G214" s="46" t="s">
        <v>28</v>
      </c>
      <c r="H214" s="45"/>
      <c r="I214" s="45"/>
      <c r="J214" s="45"/>
      <c r="K214" s="46" t="s">
        <v>28</v>
      </c>
      <c r="L214" s="45"/>
      <c r="M214" s="45"/>
      <c r="N214" s="45"/>
      <c r="O214" s="45"/>
      <c r="P214" s="45"/>
      <c r="Q214" s="45"/>
      <c r="R214" s="45"/>
    </row>
    <row r="215" spans="1:18" ht="57.6" customHeight="1" x14ac:dyDescent="0.25">
      <c r="A215" s="43" t="s">
        <v>919</v>
      </c>
      <c r="B215" s="43" t="s">
        <v>920</v>
      </c>
      <c r="C215" s="43" t="s">
        <v>892</v>
      </c>
      <c r="D215" s="43" t="s">
        <v>454</v>
      </c>
      <c r="E215" s="43" t="s">
        <v>455</v>
      </c>
      <c r="F215" s="43"/>
      <c r="G215" s="46" t="s">
        <v>28</v>
      </c>
      <c r="H215" s="45"/>
      <c r="I215" s="45"/>
      <c r="J215" s="45"/>
      <c r="K215" s="46" t="s">
        <v>28</v>
      </c>
      <c r="L215" s="45"/>
      <c r="M215" s="45"/>
      <c r="N215" s="45"/>
      <c r="O215" s="45"/>
      <c r="P215" s="45"/>
      <c r="Q215" s="45"/>
      <c r="R215" s="45"/>
    </row>
    <row r="216" spans="1:18" ht="57.6" customHeight="1" x14ac:dyDescent="0.25">
      <c r="A216" s="43" t="s">
        <v>921</v>
      </c>
      <c r="B216" s="43" t="s">
        <v>922</v>
      </c>
      <c r="C216" s="43" t="s">
        <v>892</v>
      </c>
      <c r="D216" s="43" t="s">
        <v>458</v>
      </c>
      <c r="E216" s="43" t="s">
        <v>459</v>
      </c>
      <c r="F216" s="43"/>
      <c r="G216" s="46" t="s">
        <v>28</v>
      </c>
      <c r="H216" s="45"/>
      <c r="I216" s="45"/>
      <c r="J216" s="45"/>
      <c r="K216" s="46" t="s">
        <v>28</v>
      </c>
      <c r="L216" s="45"/>
      <c r="M216" s="45"/>
      <c r="N216" s="45"/>
      <c r="O216" s="45"/>
      <c r="P216" s="45"/>
      <c r="Q216" s="45"/>
      <c r="R216" s="45"/>
    </row>
  </sheetData>
  <mergeCells count="45">
    <mergeCell ref="B198:R198"/>
    <mergeCell ref="K1:K5"/>
    <mergeCell ref="G6:J6"/>
    <mergeCell ref="O1:O5"/>
    <mergeCell ref="B9:R9"/>
    <mergeCell ref="B158:R158"/>
    <mergeCell ref="B5:C5"/>
    <mergeCell ref="B139:R139"/>
    <mergeCell ref="B89:R89"/>
    <mergeCell ref="C6:C7"/>
    <mergeCell ref="B80:R80"/>
    <mergeCell ref="Q1:Q5"/>
    <mergeCell ref="B4:C4"/>
    <mergeCell ref="A6:A7"/>
    <mergeCell ref="B199:R199"/>
    <mergeCell ref="F6:F7"/>
    <mergeCell ref="B208:R208"/>
    <mergeCell ref="B159:R159"/>
    <mergeCell ref="B71:R71"/>
    <mergeCell ref="B140:R140"/>
    <mergeCell ref="B22:R22"/>
    <mergeCell ref="B149:R149"/>
    <mergeCell ref="K6:N6"/>
    <mergeCell ref="B96:R96"/>
    <mergeCell ref="B167:R167"/>
    <mergeCell ref="B70:R70"/>
    <mergeCell ref="E6:E7"/>
    <mergeCell ref="B6:B7"/>
    <mergeCell ref="B8:R8"/>
    <mergeCell ref="D2:F2"/>
    <mergeCell ref="N1:N5"/>
    <mergeCell ref="B3:C3"/>
    <mergeCell ref="O6:P6"/>
    <mergeCell ref="B90:R90"/>
    <mergeCell ref="G1:G5"/>
    <mergeCell ref="B2:C2"/>
    <mergeCell ref="D4:F4"/>
    <mergeCell ref="D3:F3"/>
    <mergeCell ref="B1:C1"/>
    <mergeCell ref="H1:H5"/>
    <mergeCell ref="P1:P5"/>
    <mergeCell ref="D5:F5"/>
    <mergeCell ref="D6:D7"/>
    <mergeCell ref="Q6:R6"/>
    <mergeCell ref="D1:F1"/>
  </mergeCells>
  <dataValidations count="1">
    <dataValidation type="list" allowBlank="1" showErrorMessage="1" sqref="G10:G87 G90:G138 G140:G157 G159:G197 G199:G215 K10:K87 K90:K138 K140:K157 K159:K197 K199:K215 O10 O12:O29 O32 O34:O86 Q10 Q12:Q29 Q32 Q34:Q86">
      <formula1>"Fail,Pass,N/A,Untested,Pending"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47"/>
  <sheetViews>
    <sheetView tabSelected="1" zoomScaleNormal="100" workbookViewId="0">
      <selection activeCell="E12" sqref="E12"/>
    </sheetView>
  </sheetViews>
  <sheetFormatPr defaultColWidth="12.6640625" defaultRowHeight="15" customHeight="1" x14ac:dyDescent="0.25"/>
  <cols>
    <col min="1" max="1" width="12.6640625" style="57" customWidth="1"/>
    <col min="2" max="2" width="16.109375" style="57" customWidth="1"/>
    <col min="3" max="3" width="19.88671875" style="57" customWidth="1"/>
    <col min="4" max="4" width="37.33203125" style="57" customWidth="1"/>
    <col min="5" max="5" width="50.33203125" style="57" customWidth="1"/>
    <col min="6" max="6" width="48.6640625" style="57" customWidth="1"/>
    <col min="7" max="7" width="12.6640625" style="57" customWidth="1"/>
    <col min="8" max="8" width="16" style="57" customWidth="1"/>
  </cols>
  <sheetData>
    <row r="1" spans="1:26" ht="15.75" customHeight="1" x14ac:dyDescent="0.25">
      <c r="A1" s="33"/>
      <c r="B1" s="33"/>
      <c r="C1" s="30"/>
      <c r="D1" s="31"/>
      <c r="E1" s="31"/>
      <c r="F1" s="32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5.75" customHeight="1" x14ac:dyDescent="0.25">
      <c r="A2" s="33" t="s">
        <v>81</v>
      </c>
      <c r="B2" s="33"/>
      <c r="C2" s="30"/>
      <c r="D2" s="31"/>
      <c r="E2" s="31"/>
      <c r="F2" s="32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5.75" customHeight="1" x14ac:dyDescent="0.25">
      <c r="A3" s="33"/>
      <c r="B3" s="33"/>
      <c r="C3" s="30"/>
      <c r="D3" s="31"/>
      <c r="E3" s="31"/>
      <c r="F3" s="32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5.75" customHeight="1" x14ac:dyDescent="0.25">
      <c r="A4" s="33"/>
      <c r="B4" s="33"/>
      <c r="C4" s="30"/>
      <c r="D4" s="31"/>
      <c r="E4" s="31"/>
      <c r="F4" s="32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5.75" customHeight="1" x14ac:dyDescent="0.25">
      <c r="A5" s="33"/>
      <c r="B5" s="33"/>
      <c r="C5" s="30"/>
      <c r="D5" s="31"/>
      <c r="E5" s="31"/>
      <c r="F5" s="32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5.75" customHeight="1" x14ac:dyDescent="0.25">
      <c r="A6" s="33"/>
      <c r="B6" s="33"/>
      <c r="C6" s="30"/>
      <c r="D6" s="31"/>
      <c r="E6" s="31"/>
      <c r="F6" s="32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5.75" customHeight="1" x14ac:dyDescent="0.25">
      <c r="A7" s="33"/>
      <c r="B7" s="33"/>
      <c r="C7" s="30"/>
      <c r="D7" s="31"/>
      <c r="E7" s="31"/>
      <c r="F7" s="32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5.75" customHeight="1" x14ac:dyDescent="0.25">
      <c r="A8" s="33"/>
      <c r="B8" s="33"/>
      <c r="C8" s="30"/>
      <c r="D8" s="31"/>
      <c r="E8" s="31"/>
      <c r="F8" s="32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5.75" customHeight="1" x14ac:dyDescent="0.25">
      <c r="A9" s="33"/>
      <c r="B9" s="33"/>
      <c r="C9" s="30"/>
      <c r="D9" s="31"/>
      <c r="E9" s="31"/>
      <c r="F9" s="32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5.75" customHeight="1" x14ac:dyDescent="0.25">
      <c r="A10" s="33"/>
      <c r="B10" s="33"/>
      <c r="C10" s="30"/>
      <c r="D10" s="31"/>
      <c r="E10" s="31"/>
      <c r="F10" s="32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5.75" customHeight="1" x14ac:dyDescent="0.25">
      <c r="A11" s="33"/>
      <c r="B11" s="33"/>
      <c r="C11" s="30"/>
      <c r="D11" s="31"/>
      <c r="E11" s="31"/>
      <c r="F11" s="32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5.75" customHeight="1" x14ac:dyDescent="0.25">
      <c r="A12" s="33"/>
      <c r="B12" s="33"/>
      <c r="C12" s="30"/>
      <c r="D12" s="31"/>
      <c r="E12" s="31"/>
      <c r="F12" s="32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5.75" customHeight="1" x14ac:dyDescent="0.25">
      <c r="A13" s="33"/>
      <c r="B13" s="33"/>
      <c r="C13" s="30"/>
      <c r="D13" s="31"/>
      <c r="E13" s="31"/>
      <c r="F13" s="32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5.75" customHeight="1" x14ac:dyDescent="0.25">
      <c r="A14" s="33"/>
      <c r="B14" s="33"/>
      <c r="C14" s="30"/>
      <c r="D14" s="31"/>
      <c r="E14" s="31"/>
      <c r="F14" s="32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5.75" customHeight="1" x14ac:dyDescent="0.25">
      <c r="A15" s="33"/>
      <c r="B15" s="33"/>
      <c r="C15" s="30"/>
      <c r="D15" s="31"/>
      <c r="E15" s="31"/>
      <c r="F15" s="32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5.75" customHeight="1" x14ac:dyDescent="0.25">
      <c r="A16" s="33"/>
      <c r="B16" s="33"/>
      <c r="C16" s="30"/>
      <c r="D16" s="31"/>
      <c r="E16" s="31"/>
      <c r="F16" s="32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.75" customHeight="1" x14ac:dyDescent="0.25">
      <c r="A17" s="33"/>
      <c r="B17" s="33"/>
      <c r="C17" s="30"/>
      <c r="D17" s="31"/>
      <c r="E17" s="31"/>
      <c r="F17" s="32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5.75" customHeight="1" x14ac:dyDescent="0.25">
      <c r="A18" s="33"/>
      <c r="B18" s="33"/>
      <c r="C18" s="30"/>
      <c r="D18" s="31"/>
      <c r="E18" s="31"/>
      <c r="F18" s="32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.75" customHeight="1" x14ac:dyDescent="0.25">
      <c r="A19" s="33"/>
      <c r="B19" s="33"/>
      <c r="C19" s="30"/>
      <c r="D19" s="31"/>
      <c r="E19" s="31"/>
      <c r="F19" s="32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.75" customHeight="1" x14ac:dyDescent="0.25">
      <c r="A20" s="33"/>
      <c r="B20" s="33"/>
      <c r="C20" s="30"/>
      <c r="D20" s="31"/>
      <c r="E20" s="31"/>
      <c r="F20" s="32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.75" customHeight="1" x14ac:dyDescent="0.25">
      <c r="A21" s="33"/>
      <c r="B21" s="33"/>
      <c r="C21" s="30"/>
      <c r="D21" s="31"/>
      <c r="E21" s="31"/>
      <c r="F21" s="32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.75" customHeight="1" x14ac:dyDescent="0.25">
      <c r="A22" s="33"/>
      <c r="B22" s="33"/>
      <c r="C22" s="30"/>
      <c r="D22" s="31"/>
      <c r="E22" s="31"/>
      <c r="F22" s="32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5.75" customHeight="1" x14ac:dyDescent="0.25">
      <c r="A23" s="33"/>
      <c r="B23" s="33"/>
      <c r="C23" s="30"/>
      <c r="D23" s="31"/>
      <c r="E23" s="31"/>
      <c r="F23" s="32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.75" customHeight="1" x14ac:dyDescent="0.25">
      <c r="A24" s="33"/>
      <c r="B24" s="33"/>
      <c r="C24" s="30"/>
      <c r="D24" s="31"/>
      <c r="E24" s="31"/>
      <c r="F24" s="32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.75" customHeight="1" x14ac:dyDescent="0.25">
      <c r="A25" s="33"/>
      <c r="B25" s="33"/>
      <c r="C25" s="30"/>
      <c r="D25" s="31"/>
      <c r="E25" s="31"/>
      <c r="F25" s="32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.75" customHeight="1" x14ac:dyDescent="0.25">
      <c r="A26" s="33"/>
      <c r="B26" s="33"/>
      <c r="C26" s="30"/>
      <c r="D26" s="31"/>
      <c r="E26" s="31"/>
      <c r="F26" s="32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.75" customHeight="1" x14ac:dyDescent="0.25">
      <c r="A27" s="33"/>
      <c r="B27" s="33"/>
      <c r="C27" s="30"/>
      <c r="D27" s="31"/>
      <c r="E27" s="31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.75" customHeight="1" x14ac:dyDescent="0.25">
      <c r="A28" s="33"/>
      <c r="B28" s="33"/>
      <c r="C28" s="30"/>
      <c r="D28" s="31"/>
      <c r="E28" s="31"/>
      <c r="F28" s="32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.75" customHeight="1" x14ac:dyDescent="0.25">
      <c r="A29" s="33"/>
      <c r="B29" s="33"/>
      <c r="C29" s="30"/>
      <c r="D29" s="31"/>
      <c r="E29" s="31"/>
      <c r="F29" s="32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.75" customHeight="1" x14ac:dyDescent="0.25">
      <c r="A30" s="33"/>
      <c r="B30" s="33"/>
      <c r="C30" s="30"/>
      <c r="D30" s="31"/>
      <c r="E30" s="31"/>
      <c r="F30" s="32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.75" customHeight="1" x14ac:dyDescent="0.25">
      <c r="A31" s="33"/>
      <c r="B31" s="33"/>
      <c r="C31" s="30"/>
      <c r="D31" s="31"/>
      <c r="E31" s="31"/>
      <c r="F31" s="32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.75" customHeight="1" x14ac:dyDescent="0.25">
      <c r="A32" s="33"/>
      <c r="B32" s="33"/>
      <c r="C32" s="30"/>
      <c r="D32" s="31"/>
      <c r="E32" s="31"/>
      <c r="F32" s="32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5.75" customHeight="1" x14ac:dyDescent="0.25">
      <c r="A33" s="33"/>
      <c r="B33" s="33"/>
      <c r="C33" s="30"/>
      <c r="D33" s="31"/>
      <c r="E33" s="31"/>
      <c r="F33" s="32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5.75" customHeight="1" x14ac:dyDescent="0.25">
      <c r="A34" s="33"/>
      <c r="B34" s="33"/>
      <c r="C34" s="30"/>
      <c r="D34" s="31"/>
      <c r="E34" s="31"/>
      <c r="F34" s="32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5.75" customHeight="1" x14ac:dyDescent="0.25">
      <c r="A35" s="33"/>
      <c r="B35" s="33"/>
      <c r="C35" s="30"/>
      <c r="D35" s="31"/>
      <c r="E35" s="31"/>
      <c r="F35" s="32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5.75" customHeight="1" x14ac:dyDescent="0.25">
      <c r="A36" s="33" t="s">
        <v>927</v>
      </c>
      <c r="B36" s="33"/>
      <c r="C36" s="30"/>
      <c r="D36" s="31"/>
      <c r="E36" s="31"/>
      <c r="F36" s="32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5.75" customHeight="1" x14ac:dyDescent="0.25">
      <c r="A37" s="33"/>
      <c r="B37" s="33"/>
      <c r="C37" s="30"/>
      <c r="D37" s="31"/>
      <c r="E37" s="31"/>
      <c r="F37" s="32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5.75" customHeight="1" x14ac:dyDescent="0.25">
      <c r="A38" s="33"/>
      <c r="B38" s="33"/>
      <c r="C38" s="30"/>
      <c r="D38" s="31"/>
      <c r="E38" s="31"/>
      <c r="F38" s="32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5.75" customHeight="1" x14ac:dyDescent="0.25">
      <c r="A39" s="33"/>
      <c r="B39" s="33"/>
      <c r="C39" s="30"/>
      <c r="D39" s="31"/>
      <c r="E39" s="31"/>
      <c r="F39" s="32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5.75" customHeight="1" x14ac:dyDescent="0.25">
      <c r="A40" s="33"/>
      <c r="B40" s="33"/>
      <c r="C40" s="30"/>
      <c r="D40" s="31"/>
      <c r="E40" s="31"/>
      <c r="F40" s="32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5.75" customHeight="1" x14ac:dyDescent="0.25">
      <c r="A41" s="33"/>
      <c r="B41" s="33"/>
      <c r="C41" s="30"/>
      <c r="D41" s="31"/>
      <c r="E41" s="31"/>
      <c r="F41" s="32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5.75" customHeight="1" x14ac:dyDescent="0.25">
      <c r="A42" s="33"/>
      <c r="B42" s="33"/>
      <c r="C42" s="30"/>
      <c r="D42" s="31"/>
      <c r="E42" s="31"/>
      <c r="F42" s="32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5.75" customHeight="1" x14ac:dyDescent="0.25">
      <c r="A43" s="33"/>
      <c r="B43" s="33"/>
      <c r="C43" s="30"/>
      <c r="D43" s="31"/>
      <c r="E43" s="31"/>
      <c r="F43" s="32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5.75" customHeight="1" x14ac:dyDescent="0.25">
      <c r="A44" s="33" t="s">
        <v>923</v>
      </c>
      <c r="B44" s="33"/>
      <c r="C44" s="30"/>
      <c r="D44" s="31"/>
      <c r="E44" s="31"/>
      <c r="F44" s="32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5.75" customHeight="1" x14ac:dyDescent="0.25">
      <c r="A45" s="33"/>
      <c r="B45" s="33"/>
      <c r="C45" s="30"/>
      <c r="D45" s="31"/>
      <c r="E45" s="31"/>
      <c r="F45" s="32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5.75" customHeight="1" x14ac:dyDescent="0.25">
      <c r="A46" s="33"/>
      <c r="B46" s="33"/>
      <c r="C46" s="30"/>
      <c r="D46" s="31"/>
      <c r="E46" s="31"/>
      <c r="F46" s="32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5.75" customHeight="1" x14ac:dyDescent="0.25">
      <c r="A47" s="33"/>
      <c r="B47" s="33"/>
      <c r="C47" s="30"/>
      <c r="D47" s="31"/>
      <c r="E47" s="31"/>
      <c r="F47" s="32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5.75" customHeight="1" x14ac:dyDescent="0.25">
      <c r="A48" s="33"/>
      <c r="B48" s="33"/>
      <c r="C48" s="30"/>
      <c r="D48" s="31"/>
      <c r="E48" s="31"/>
      <c r="F48" s="32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5.75" customHeight="1" x14ac:dyDescent="0.25">
      <c r="A49" s="33"/>
      <c r="B49" s="33"/>
      <c r="C49" s="30"/>
      <c r="D49" s="31"/>
      <c r="E49" s="31"/>
      <c r="F49" s="32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5.75" customHeight="1" x14ac:dyDescent="0.25">
      <c r="A50" s="33"/>
      <c r="B50" s="33"/>
      <c r="C50" s="30"/>
      <c r="D50" s="31"/>
      <c r="E50" s="31"/>
      <c r="F50" s="32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5.75" customHeight="1" x14ac:dyDescent="0.25">
      <c r="A51" s="33"/>
      <c r="B51" s="33"/>
      <c r="C51" s="30"/>
      <c r="D51" s="31"/>
      <c r="E51" s="31"/>
      <c r="F51" s="32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5.75" customHeight="1" x14ac:dyDescent="0.25">
      <c r="A52" s="33"/>
      <c r="B52" s="33"/>
      <c r="C52" s="30"/>
      <c r="D52" s="31"/>
      <c r="E52" s="31"/>
      <c r="F52" s="32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5.75" customHeight="1" x14ac:dyDescent="0.25">
      <c r="A53" s="33"/>
      <c r="B53" s="33"/>
      <c r="C53" s="30"/>
      <c r="D53" s="31"/>
      <c r="E53" s="31"/>
      <c r="F53" s="32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5.75" customHeight="1" x14ac:dyDescent="0.25">
      <c r="A54" s="33"/>
      <c r="B54" s="33"/>
      <c r="C54" s="30"/>
      <c r="D54" s="31"/>
      <c r="E54" s="31"/>
      <c r="F54" s="32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5.75" customHeight="1" x14ac:dyDescent="0.25">
      <c r="A55" s="33"/>
      <c r="B55" s="33"/>
      <c r="C55" s="30"/>
      <c r="D55" s="31"/>
      <c r="E55" s="31"/>
      <c r="F55" s="32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5.75" customHeight="1" x14ac:dyDescent="0.25">
      <c r="A56" s="33"/>
      <c r="B56" s="33"/>
      <c r="C56" s="30"/>
      <c r="D56" s="31"/>
      <c r="E56" s="31"/>
      <c r="F56" s="32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5.75" customHeight="1" x14ac:dyDescent="0.25">
      <c r="A57" s="33"/>
      <c r="B57" s="33"/>
      <c r="C57" s="30"/>
      <c r="D57" s="31"/>
      <c r="E57" s="31"/>
      <c r="F57" s="32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5.75" customHeight="1" x14ac:dyDescent="0.25">
      <c r="A58" s="33"/>
      <c r="B58" s="33"/>
      <c r="C58" s="30"/>
      <c r="D58" s="31"/>
      <c r="E58" s="31"/>
      <c r="F58" s="32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5.75" customHeight="1" x14ac:dyDescent="0.25">
      <c r="A59" s="33"/>
      <c r="B59" s="33"/>
      <c r="C59" s="30"/>
      <c r="D59" s="31"/>
      <c r="E59" s="31"/>
      <c r="F59" s="32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5.75" customHeight="1" x14ac:dyDescent="0.25">
      <c r="A60" s="33"/>
      <c r="B60" s="33"/>
      <c r="C60" s="30"/>
      <c r="D60" s="31"/>
      <c r="E60" s="31"/>
      <c r="F60" s="32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5.75" customHeight="1" x14ac:dyDescent="0.25">
      <c r="A61" s="33"/>
      <c r="B61" s="33"/>
      <c r="C61" s="30"/>
      <c r="D61" s="31"/>
      <c r="E61" s="31"/>
      <c r="F61" s="32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5.75" customHeight="1" x14ac:dyDescent="0.25">
      <c r="A62" s="33"/>
      <c r="B62" s="33"/>
      <c r="C62" s="30"/>
      <c r="D62" s="31"/>
      <c r="E62" s="31"/>
      <c r="F62" s="32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5.75" customHeight="1" x14ac:dyDescent="0.25">
      <c r="A63" s="33"/>
      <c r="B63" s="33"/>
      <c r="C63" s="30"/>
      <c r="D63" s="31"/>
      <c r="E63" s="31"/>
      <c r="F63" s="32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5.75" customHeight="1" x14ac:dyDescent="0.25">
      <c r="A64" s="33"/>
      <c r="B64" s="33"/>
      <c r="C64" s="30"/>
      <c r="D64" s="31"/>
      <c r="E64" s="31"/>
      <c r="F64" s="32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5.75" customHeight="1" x14ac:dyDescent="0.25">
      <c r="A65" s="33"/>
      <c r="B65" s="33"/>
      <c r="C65" s="30"/>
      <c r="D65" s="31"/>
      <c r="E65" s="31"/>
      <c r="F65" s="32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5.75" customHeight="1" x14ac:dyDescent="0.25">
      <c r="A66" s="33" t="s">
        <v>709</v>
      </c>
      <c r="B66" s="33"/>
      <c r="C66" s="30"/>
      <c r="D66" s="31"/>
      <c r="E66" s="31"/>
      <c r="F66" s="32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5.75" customHeight="1" x14ac:dyDescent="0.25">
      <c r="A67" s="33"/>
      <c r="B67" s="33"/>
      <c r="C67" s="30"/>
      <c r="D67" s="31"/>
      <c r="E67" s="31"/>
      <c r="F67" s="32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5.75" customHeight="1" x14ac:dyDescent="0.25">
      <c r="A68" s="33"/>
      <c r="B68" s="33"/>
      <c r="C68" s="30"/>
      <c r="D68" s="31"/>
      <c r="E68" s="31"/>
      <c r="F68" s="32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5.75" customHeight="1" x14ac:dyDescent="0.25">
      <c r="A69" s="33"/>
      <c r="B69" s="33"/>
      <c r="C69" s="30"/>
      <c r="D69" s="31"/>
      <c r="E69" s="31"/>
      <c r="F69" s="32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5.75" customHeight="1" x14ac:dyDescent="0.25">
      <c r="A70" s="33"/>
      <c r="B70" s="33"/>
      <c r="C70" s="30"/>
      <c r="D70" s="31"/>
      <c r="E70" s="31"/>
      <c r="F70" s="32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5.75" customHeight="1" x14ac:dyDescent="0.25">
      <c r="A71" s="33"/>
      <c r="B71" s="33"/>
      <c r="C71" s="30"/>
      <c r="D71" s="31"/>
      <c r="E71" s="31"/>
      <c r="F71" s="32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5.75" customHeight="1" x14ac:dyDescent="0.25">
      <c r="A72" s="33"/>
      <c r="B72" s="33"/>
      <c r="C72" s="30"/>
      <c r="D72" s="31"/>
      <c r="E72" s="31"/>
      <c r="F72" s="32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5.75" customHeight="1" x14ac:dyDescent="0.25">
      <c r="A73" s="33"/>
      <c r="B73" s="33"/>
      <c r="C73" s="30"/>
      <c r="D73" s="31"/>
      <c r="E73" s="31"/>
      <c r="F73" s="32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5.75" customHeight="1" x14ac:dyDescent="0.25">
      <c r="A74" s="33"/>
      <c r="B74" s="33"/>
      <c r="C74" s="30"/>
      <c r="D74" s="31"/>
      <c r="E74" s="31"/>
      <c r="F74" s="32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5.75" customHeight="1" x14ac:dyDescent="0.25">
      <c r="A75" s="33"/>
      <c r="B75" s="33"/>
      <c r="C75" s="30"/>
      <c r="D75" s="31"/>
      <c r="E75" s="31"/>
      <c r="F75" s="32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5.75" customHeight="1" x14ac:dyDescent="0.25">
      <c r="A76" s="33"/>
      <c r="B76" s="33"/>
      <c r="C76" s="30"/>
      <c r="D76" s="31"/>
      <c r="E76" s="31"/>
      <c r="F76" s="32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5.75" customHeight="1" x14ac:dyDescent="0.25">
      <c r="A77" s="33"/>
      <c r="B77" s="33"/>
      <c r="C77" s="30"/>
      <c r="D77" s="31"/>
      <c r="E77" s="31"/>
      <c r="F77" s="32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5.75" customHeight="1" x14ac:dyDescent="0.25">
      <c r="A78" s="33"/>
      <c r="B78" s="33"/>
      <c r="C78" s="30"/>
      <c r="D78" s="31"/>
      <c r="E78" s="31"/>
      <c r="F78" s="32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5.75" customHeight="1" x14ac:dyDescent="0.25">
      <c r="A79" s="33"/>
      <c r="B79" s="33"/>
      <c r="C79" s="30"/>
      <c r="D79" s="31"/>
      <c r="E79" s="31"/>
      <c r="F79" s="32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5.75" customHeight="1" x14ac:dyDescent="0.25">
      <c r="A80" s="33"/>
      <c r="B80" s="33"/>
      <c r="C80" s="30"/>
      <c r="D80" s="31"/>
      <c r="E80" s="31"/>
      <c r="F80" s="32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5.75" customHeight="1" x14ac:dyDescent="0.25">
      <c r="A81" s="33"/>
      <c r="B81" s="33"/>
      <c r="C81" s="30"/>
      <c r="D81" s="31"/>
      <c r="E81" s="31"/>
      <c r="F81" s="32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5.75" customHeight="1" x14ac:dyDescent="0.25">
      <c r="A82" s="33"/>
      <c r="B82" s="33"/>
      <c r="C82" s="30"/>
      <c r="D82" s="31"/>
      <c r="E82" s="31"/>
      <c r="F82" s="32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5.75" customHeight="1" x14ac:dyDescent="0.25">
      <c r="A83" s="33"/>
      <c r="B83" s="33"/>
      <c r="C83" s="30"/>
      <c r="D83" s="31"/>
      <c r="E83" s="31"/>
      <c r="F83" s="32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5.75" customHeight="1" x14ac:dyDescent="0.25">
      <c r="A84" s="33"/>
      <c r="B84" s="33"/>
      <c r="C84" s="30"/>
      <c r="D84" s="31"/>
      <c r="E84" s="31"/>
      <c r="F84" s="32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5.75" customHeight="1" x14ac:dyDescent="0.25">
      <c r="A85" s="33"/>
      <c r="B85" s="33"/>
      <c r="C85" s="30"/>
      <c r="D85" s="31"/>
      <c r="E85" s="31"/>
      <c r="F85" s="32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5.75" customHeight="1" x14ac:dyDescent="0.25">
      <c r="A86" s="33"/>
      <c r="B86" s="33"/>
      <c r="C86" s="30"/>
      <c r="D86" s="31"/>
      <c r="E86" s="31"/>
      <c r="F86" s="32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5.75" customHeight="1" x14ac:dyDescent="0.25">
      <c r="A87" s="33"/>
      <c r="B87" s="33"/>
      <c r="C87" s="30"/>
      <c r="D87" s="31"/>
      <c r="E87" s="31"/>
      <c r="F87" s="32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5.75" customHeight="1" x14ac:dyDescent="0.25">
      <c r="A88" s="33"/>
      <c r="B88" s="33"/>
      <c r="C88" s="30"/>
      <c r="D88" s="31"/>
      <c r="E88" s="31"/>
      <c r="F88" s="32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5.75" customHeight="1" x14ac:dyDescent="0.25">
      <c r="A89" s="33" t="s">
        <v>924</v>
      </c>
      <c r="B89" s="33"/>
      <c r="C89" s="30"/>
      <c r="D89" s="31"/>
      <c r="E89" s="31"/>
      <c r="F89" s="32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5.75" customHeight="1" x14ac:dyDescent="0.25">
      <c r="A90" s="33"/>
      <c r="B90" s="33"/>
      <c r="C90" s="30"/>
      <c r="D90" s="31"/>
      <c r="E90" s="31"/>
      <c r="F90" s="32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5.75" customHeight="1" x14ac:dyDescent="0.25">
      <c r="A91" s="33"/>
      <c r="B91" s="33"/>
      <c r="C91" s="30"/>
      <c r="D91" s="31"/>
      <c r="E91" s="31"/>
      <c r="F91" s="32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5.75" customHeight="1" x14ac:dyDescent="0.25">
      <c r="A92" s="33"/>
      <c r="B92" s="33"/>
      <c r="C92" s="30"/>
      <c r="D92" s="31"/>
      <c r="E92" s="31"/>
      <c r="F92" s="32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5.75" customHeight="1" x14ac:dyDescent="0.25">
      <c r="A93" s="33"/>
      <c r="B93" s="33"/>
      <c r="C93" s="30"/>
      <c r="D93" s="31"/>
      <c r="E93" s="31"/>
      <c r="F93" s="32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5.75" customHeight="1" x14ac:dyDescent="0.25">
      <c r="A94" s="33"/>
      <c r="B94" s="33"/>
      <c r="C94" s="30"/>
      <c r="D94" s="31"/>
      <c r="E94" s="31"/>
      <c r="F94" s="32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5.75" customHeight="1" x14ac:dyDescent="0.25">
      <c r="A95" s="33"/>
      <c r="B95" s="33"/>
      <c r="C95" s="30"/>
      <c r="D95" s="31"/>
      <c r="E95" s="31"/>
      <c r="F95" s="32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5.75" customHeight="1" x14ac:dyDescent="0.25">
      <c r="A96" s="33"/>
      <c r="B96" s="33"/>
      <c r="C96" s="30"/>
      <c r="D96" s="31"/>
      <c r="E96" s="31"/>
      <c r="F96" s="32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5.75" customHeight="1" x14ac:dyDescent="0.25">
      <c r="A97" s="33"/>
      <c r="B97" s="33"/>
      <c r="C97" s="30"/>
      <c r="D97" s="31"/>
      <c r="E97" s="31"/>
      <c r="F97" s="32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5.75" customHeight="1" x14ac:dyDescent="0.25">
      <c r="A98" s="33"/>
      <c r="B98" s="33"/>
      <c r="C98" s="30"/>
      <c r="D98" s="31"/>
      <c r="E98" s="31"/>
      <c r="F98" s="32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5.75" customHeight="1" x14ac:dyDescent="0.25">
      <c r="A99" s="33"/>
      <c r="B99" s="33"/>
      <c r="C99" s="30"/>
      <c r="D99" s="31"/>
      <c r="E99" s="31"/>
      <c r="F99" s="32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5.75" customHeight="1" x14ac:dyDescent="0.25">
      <c r="A100" s="33"/>
      <c r="B100" s="33"/>
      <c r="C100" s="30"/>
      <c r="D100" s="31"/>
      <c r="E100" s="31"/>
      <c r="F100" s="32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5.75" customHeight="1" x14ac:dyDescent="0.25">
      <c r="A101" s="33"/>
      <c r="B101" s="33"/>
      <c r="C101" s="30"/>
      <c r="D101" s="31"/>
      <c r="E101" s="31"/>
      <c r="F101" s="32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5.75" customHeight="1" x14ac:dyDescent="0.25">
      <c r="A102" s="33"/>
      <c r="B102" s="33"/>
      <c r="C102" s="30"/>
      <c r="D102" s="31"/>
      <c r="E102" s="31"/>
      <c r="F102" s="32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5.75" customHeight="1" x14ac:dyDescent="0.25">
      <c r="A103" s="33"/>
      <c r="B103" s="33"/>
      <c r="C103" s="30"/>
      <c r="D103" s="31"/>
      <c r="E103" s="31"/>
      <c r="F103" s="32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5.75" customHeight="1" x14ac:dyDescent="0.25">
      <c r="A104" s="33"/>
      <c r="B104" s="33"/>
      <c r="C104" s="30"/>
      <c r="D104" s="31"/>
      <c r="E104" s="31"/>
      <c r="F104" s="32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5.75" customHeight="1" x14ac:dyDescent="0.25">
      <c r="A105" s="33"/>
      <c r="B105" s="33"/>
      <c r="C105" s="30"/>
      <c r="D105" s="31"/>
      <c r="E105" s="31"/>
      <c r="F105" s="32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5.75" customHeight="1" x14ac:dyDescent="0.25">
      <c r="A106" s="33"/>
      <c r="B106" s="33"/>
      <c r="C106" s="30"/>
      <c r="D106" s="31"/>
      <c r="E106" s="31"/>
      <c r="F106" s="32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5.75" customHeight="1" x14ac:dyDescent="0.25">
      <c r="A107" s="33"/>
      <c r="B107" s="33"/>
      <c r="C107" s="30"/>
      <c r="D107" s="31"/>
      <c r="E107" s="31"/>
      <c r="F107" s="32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5.75" customHeight="1" x14ac:dyDescent="0.25">
      <c r="A108" s="33"/>
      <c r="B108" s="33"/>
      <c r="C108" s="30"/>
      <c r="D108" s="31"/>
      <c r="E108" s="31"/>
      <c r="F108" s="32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5.75" customHeight="1" x14ac:dyDescent="0.25">
      <c r="A109" s="33"/>
      <c r="B109" s="33"/>
      <c r="C109" s="30"/>
      <c r="D109" s="31"/>
      <c r="E109" s="31"/>
      <c r="F109" s="32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5.75" customHeight="1" x14ac:dyDescent="0.25">
      <c r="A110" s="33"/>
      <c r="B110" s="33"/>
      <c r="C110" s="30"/>
      <c r="D110" s="31"/>
      <c r="E110" s="31"/>
      <c r="F110" s="32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5.75" customHeight="1" x14ac:dyDescent="0.25">
      <c r="A111" s="33"/>
      <c r="B111" s="33"/>
      <c r="C111" s="30"/>
      <c r="D111" s="31"/>
      <c r="E111" s="31"/>
      <c r="F111" s="32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5.75" customHeight="1" x14ac:dyDescent="0.25">
      <c r="A112" s="33"/>
      <c r="B112" s="33"/>
      <c r="C112" s="30"/>
      <c r="D112" s="31"/>
      <c r="E112" s="31"/>
      <c r="F112" s="32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5.75" customHeight="1" x14ac:dyDescent="0.25">
      <c r="A113" s="33"/>
      <c r="B113" s="33"/>
      <c r="C113" s="30"/>
      <c r="D113" s="31"/>
      <c r="E113" s="31"/>
      <c r="F113" s="32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5.75" customHeight="1" x14ac:dyDescent="0.25">
      <c r="A114" s="33"/>
      <c r="B114" s="33"/>
      <c r="C114" s="30"/>
      <c r="D114" s="31"/>
      <c r="E114" s="31"/>
      <c r="F114" s="32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5.75" customHeight="1" x14ac:dyDescent="0.25">
      <c r="A115" s="33"/>
      <c r="B115" s="33"/>
      <c r="C115" s="30"/>
      <c r="D115" s="31"/>
      <c r="E115" s="31"/>
      <c r="F115" s="32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5.75" customHeight="1" x14ac:dyDescent="0.25">
      <c r="A116" s="33"/>
      <c r="B116" s="33"/>
      <c r="C116" s="30"/>
      <c r="D116" s="31"/>
      <c r="E116" s="31"/>
      <c r="F116" s="32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5.75" customHeight="1" x14ac:dyDescent="0.25">
      <c r="A117" s="33"/>
      <c r="B117" s="33"/>
      <c r="C117" s="30"/>
      <c r="D117" s="31"/>
      <c r="E117" s="31"/>
      <c r="F117" s="32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5.75" customHeight="1" x14ac:dyDescent="0.25">
      <c r="A118" s="33"/>
      <c r="B118" s="33"/>
      <c r="C118" s="30"/>
      <c r="D118" s="31"/>
      <c r="E118" s="31"/>
      <c r="F118" s="32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5.75" customHeight="1" x14ac:dyDescent="0.25">
      <c r="A119" s="33"/>
      <c r="B119" s="33"/>
      <c r="C119" s="30"/>
      <c r="D119" s="31"/>
      <c r="E119" s="31"/>
      <c r="F119" s="32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5.75" customHeight="1" x14ac:dyDescent="0.25">
      <c r="A120" s="33"/>
      <c r="B120" s="33"/>
      <c r="C120" s="30"/>
      <c r="D120" s="31"/>
      <c r="E120" s="31"/>
      <c r="F120" s="32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5.75" customHeight="1" x14ac:dyDescent="0.25">
      <c r="A121" s="33"/>
      <c r="B121" s="33"/>
      <c r="C121" s="30"/>
      <c r="D121" s="31"/>
      <c r="E121" s="31"/>
      <c r="F121" s="32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5.75" customHeight="1" x14ac:dyDescent="0.25">
      <c r="A122" s="33"/>
      <c r="B122" s="33"/>
      <c r="C122" s="30"/>
      <c r="D122" s="31"/>
      <c r="E122" s="31"/>
      <c r="F122" s="32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5.75" customHeight="1" x14ac:dyDescent="0.25">
      <c r="A123" s="33"/>
      <c r="B123" s="33"/>
      <c r="C123" s="30"/>
      <c r="D123" s="31"/>
      <c r="E123" s="31"/>
      <c r="F123" s="32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5.75" customHeight="1" x14ac:dyDescent="0.25">
      <c r="A124" s="33"/>
      <c r="B124" s="33"/>
      <c r="C124" s="30"/>
      <c r="D124" s="31"/>
      <c r="E124" s="31"/>
      <c r="F124" s="32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5.75" customHeight="1" x14ac:dyDescent="0.25">
      <c r="A125" s="33"/>
      <c r="B125" s="33"/>
      <c r="C125" s="30"/>
      <c r="D125" s="31"/>
      <c r="E125" s="31"/>
      <c r="F125" s="32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5.75" customHeight="1" x14ac:dyDescent="0.25">
      <c r="A126" s="33"/>
      <c r="B126" s="33"/>
      <c r="C126" s="30"/>
      <c r="D126" s="31"/>
      <c r="E126" s="31"/>
      <c r="F126" s="32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5.75" customHeight="1" x14ac:dyDescent="0.25">
      <c r="A127" s="33"/>
      <c r="B127" s="33"/>
      <c r="C127" s="30"/>
      <c r="D127" s="31"/>
      <c r="E127" s="31"/>
      <c r="F127" s="32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5.75" customHeight="1" x14ac:dyDescent="0.25">
      <c r="A128" s="33"/>
      <c r="B128" s="33"/>
      <c r="C128" s="30"/>
      <c r="D128" s="31"/>
      <c r="E128" s="31"/>
      <c r="F128" s="32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5.75" customHeight="1" x14ac:dyDescent="0.25">
      <c r="A129" s="33"/>
      <c r="B129" s="33"/>
      <c r="C129" s="30"/>
      <c r="D129" s="31"/>
      <c r="E129" s="31"/>
      <c r="F129" s="32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5.75" customHeight="1" x14ac:dyDescent="0.25">
      <c r="A130" s="33"/>
      <c r="B130" s="33"/>
      <c r="C130" s="30"/>
      <c r="D130" s="31"/>
      <c r="E130" s="31"/>
      <c r="F130" s="32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5.75" customHeight="1" x14ac:dyDescent="0.25">
      <c r="A131" s="33"/>
      <c r="B131" s="33"/>
      <c r="C131" s="30"/>
      <c r="D131" s="31"/>
      <c r="E131" s="31"/>
      <c r="F131" s="32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5.75" customHeight="1" x14ac:dyDescent="0.25">
      <c r="A132" s="33"/>
      <c r="B132" s="33"/>
      <c r="C132" s="30"/>
      <c r="D132" s="31"/>
      <c r="E132" s="31"/>
      <c r="F132" s="32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5.75" customHeight="1" x14ac:dyDescent="0.25">
      <c r="A133" s="33"/>
      <c r="B133" s="33"/>
      <c r="C133" s="30"/>
      <c r="D133" s="31"/>
      <c r="E133" s="31"/>
      <c r="F133" s="32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5.75" customHeight="1" x14ac:dyDescent="0.25">
      <c r="A134" s="33"/>
      <c r="B134" s="33"/>
      <c r="C134" s="30"/>
      <c r="D134" s="31"/>
      <c r="E134" s="31"/>
      <c r="F134" s="32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5.75" customHeight="1" x14ac:dyDescent="0.25">
      <c r="A135" s="33"/>
      <c r="B135" s="33"/>
      <c r="C135" s="30"/>
      <c r="D135" s="31"/>
      <c r="E135" s="31"/>
      <c r="F135" s="32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5.75" customHeight="1" x14ac:dyDescent="0.25">
      <c r="A136" s="33"/>
      <c r="B136" s="33"/>
      <c r="C136" s="30"/>
      <c r="D136" s="31"/>
      <c r="E136" s="31"/>
      <c r="F136" s="32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5.75" customHeight="1" x14ac:dyDescent="0.25">
      <c r="A137" s="33"/>
      <c r="B137" s="33"/>
      <c r="C137" s="30"/>
      <c r="D137" s="31"/>
      <c r="E137" s="31"/>
      <c r="F137" s="32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5.75" customHeight="1" x14ac:dyDescent="0.25">
      <c r="A138" s="33"/>
      <c r="B138" s="33"/>
      <c r="C138" s="30"/>
      <c r="D138" s="31"/>
      <c r="E138" s="31"/>
      <c r="F138" s="32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5.75" customHeight="1" x14ac:dyDescent="0.25">
      <c r="A139" s="33"/>
      <c r="B139" s="33"/>
      <c r="C139" s="30"/>
      <c r="D139" s="31"/>
      <c r="E139" s="31"/>
      <c r="F139" s="32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5.75" customHeight="1" x14ac:dyDescent="0.25">
      <c r="A140" s="33"/>
      <c r="B140" s="33"/>
      <c r="C140" s="30"/>
      <c r="D140" s="31"/>
      <c r="E140" s="31"/>
      <c r="F140" s="32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5.75" customHeight="1" x14ac:dyDescent="0.25">
      <c r="A141" s="33"/>
      <c r="B141" s="33"/>
      <c r="C141" s="30"/>
      <c r="D141" s="31"/>
      <c r="E141" s="31"/>
      <c r="F141" s="32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5.75" customHeight="1" x14ac:dyDescent="0.25">
      <c r="A142" s="33"/>
      <c r="B142" s="33"/>
      <c r="C142" s="30"/>
      <c r="D142" s="31"/>
      <c r="E142" s="31"/>
      <c r="F142" s="32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5.75" customHeight="1" x14ac:dyDescent="0.25">
      <c r="A143" s="33"/>
      <c r="B143" s="33"/>
      <c r="C143" s="30"/>
      <c r="D143" s="31"/>
      <c r="E143" s="31"/>
      <c r="F143" s="32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5.75" customHeight="1" x14ac:dyDescent="0.25">
      <c r="A144" s="33"/>
      <c r="B144" s="33"/>
      <c r="C144" s="30"/>
      <c r="D144" s="31"/>
      <c r="E144" s="31"/>
      <c r="F144" s="32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5.75" customHeight="1" x14ac:dyDescent="0.25">
      <c r="A145" s="33"/>
      <c r="B145" s="33"/>
      <c r="C145" s="30"/>
      <c r="D145" s="31"/>
      <c r="E145" s="31"/>
      <c r="F145" s="32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5.75" customHeight="1" x14ac:dyDescent="0.25">
      <c r="A146" s="33"/>
      <c r="B146" s="33"/>
      <c r="C146" s="30"/>
      <c r="D146" s="31"/>
      <c r="E146" s="31"/>
      <c r="F146" s="32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5.75" customHeight="1" x14ac:dyDescent="0.25">
      <c r="A147" s="33"/>
      <c r="B147" s="33"/>
      <c r="C147" s="30"/>
      <c r="D147" s="31"/>
      <c r="E147" s="31"/>
      <c r="F147" s="32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5.75" customHeight="1" x14ac:dyDescent="0.25">
      <c r="A148" s="33"/>
      <c r="B148" s="33"/>
      <c r="C148" s="30"/>
      <c r="D148" s="31"/>
      <c r="E148" s="31"/>
      <c r="F148" s="32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5.75" customHeight="1" x14ac:dyDescent="0.25">
      <c r="A149" s="33"/>
      <c r="B149" s="33"/>
      <c r="C149" s="30"/>
      <c r="D149" s="31"/>
      <c r="E149" s="31"/>
      <c r="F149" s="32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5.75" customHeight="1" x14ac:dyDescent="0.25">
      <c r="A150" s="33"/>
      <c r="B150" s="33"/>
      <c r="C150" s="30"/>
      <c r="D150" s="31"/>
      <c r="E150" s="31"/>
      <c r="F150" s="32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5.75" customHeight="1" x14ac:dyDescent="0.25">
      <c r="A151" s="33"/>
      <c r="B151" s="33"/>
      <c r="C151" s="30"/>
      <c r="D151" s="31"/>
      <c r="E151" s="31"/>
      <c r="F151" s="32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5.75" customHeight="1" x14ac:dyDescent="0.25">
      <c r="A152" s="33"/>
      <c r="B152" s="33"/>
      <c r="C152" s="30"/>
      <c r="D152" s="31"/>
      <c r="E152" s="31"/>
      <c r="F152" s="32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5.75" customHeight="1" x14ac:dyDescent="0.25">
      <c r="A153" s="33"/>
      <c r="B153" s="33"/>
      <c r="C153" s="30"/>
      <c r="D153" s="31"/>
      <c r="E153" s="31"/>
      <c r="F153" s="32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5.75" customHeight="1" x14ac:dyDescent="0.25">
      <c r="A154" s="33"/>
      <c r="B154" s="33"/>
      <c r="C154" s="30"/>
      <c r="D154" s="31"/>
      <c r="E154" s="31"/>
      <c r="F154" s="32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5.75" customHeight="1" x14ac:dyDescent="0.25">
      <c r="A155" s="33"/>
      <c r="B155" s="33"/>
      <c r="C155" s="30"/>
      <c r="D155" s="31"/>
      <c r="E155" s="31"/>
      <c r="F155" s="32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5.75" customHeight="1" x14ac:dyDescent="0.25">
      <c r="A156" s="33"/>
      <c r="B156" s="33"/>
      <c r="C156" s="30"/>
      <c r="D156" s="31"/>
      <c r="E156" s="31"/>
      <c r="F156" s="32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5.75" customHeight="1" x14ac:dyDescent="0.25">
      <c r="A157" s="33"/>
      <c r="B157" s="33"/>
      <c r="C157" s="30"/>
      <c r="D157" s="31"/>
      <c r="E157" s="31"/>
      <c r="F157" s="32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5.75" customHeight="1" x14ac:dyDescent="0.25">
      <c r="A158" s="33"/>
      <c r="B158" s="33"/>
      <c r="C158" s="30"/>
      <c r="D158" s="31"/>
      <c r="E158" s="31"/>
      <c r="F158" s="32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5.75" customHeight="1" x14ac:dyDescent="0.25">
      <c r="A159" s="33"/>
      <c r="B159" s="33"/>
      <c r="C159" s="30"/>
      <c r="D159" s="31"/>
      <c r="E159" s="31"/>
      <c r="F159" s="32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5.75" customHeight="1" x14ac:dyDescent="0.25">
      <c r="A160" s="33"/>
      <c r="B160" s="33"/>
      <c r="C160" s="30"/>
      <c r="D160" s="31"/>
      <c r="E160" s="31"/>
      <c r="F160" s="32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5.75" customHeight="1" x14ac:dyDescent="0.25">
      <c r="A161" s="33"/>
      <c r="B161" s="33"/>
      <c r="C161" s="30"/>
      <c r="D161" s="31"/>
      <c r="E161" s="31"/>
      <c r="F161" s="32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5.75" customHeight="1" x14ac:dyDescent="0.25">
      <c r="A162" s="33"/>
      <c r="B162" s="33"/>
      <c r="C162" s="30"/>
      <c r="D162" s="31"/>
      <c r="E162" s="31"/>
      <c r="F162" s="32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5.75" customHeight="1" x14ac:dyDescent="0.25">
      <c r="A163" s="33"/>
      <c r="B163" s="33"/>
      <c r="C163" s="30"/>
      <c r="D163" s="31"/>
      <c r="E163" s="31"/>
      <c r="F163" s="32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5.75" customHeight="1" x14ac:dyDescent="0.25">
      <c r="A164" s="33"/>
      <c r="B164" s="33"/>
      <c r="C164" s="30"/>
      <c r="D164" s="31"/>
      <c r="E164" s="31"/>
      <c r="F164" s="32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5.75" customHeight="1" x14ac:dyDescent="0.25">
      <c r="A165" s="33"/>
      <c r="B165" s="33"/>
      <c r="C165" s="30"/>
      <c r="D165" s="31"/>
      <c r="E165" s="31"/>
      <c r="F165" s="32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5.75" customHeight="1" x14ac:dyDescent="0.25">
      <c r="A166" s="33"/>
      <c r="B166" s="33"/>
      <c r="C166" s="30"/>
      <c r="D166" s="31"/>
      <c r="E166" s="31"/>
      <c r="F166" s="32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5.75" customHeight="1" x14ac:dyDescent="0.25">
      <c r="A167" s="33"/>
      <c r="B167" s="33"/>
      <c r="C167" s="30"/>
      <c r="D167" s="31"/>
      <c r="E167" s="31"/>
      <c r="F167" s="32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5.75" customHeight="1" x14ac:dyDescent="0.25">
      <c r="A168" s="33"/>
      <c r="B168" s="33"/>
      <c r="C168" s="30"/>
      <c r="D168" s="31"/>
      <c r="E168" s="31"/>
      <c r="F168" s="32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5.75" customHeight="1" x14ac:dyDescent="0.25">
      <c r="A169" s="33"/>
      <c r="B169" s="33"/>
      <c r="C169" s="30"/>
      <c r="D169" s="31"/>
      <c r="E169" s="31"/>
      <c r="F169" s="32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5.75" customHeight="1" x14ac:dyDescent="0.25">
      <c r="A170" s="33"/>
      <c r="B170" s="33"/>
      <c r="C170" s="30"/>
      <c r="D170" s="31"/>
      <c r="E170" s="31"/>
      <c r="F170" s="32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5.75" customHeight="1" x14ac:dyDescent="0.25">
      <c r="A171" s="33"/>
      <c r="B171" s="33"/>
      <c r="C171" s="30"/>
      <c r="D171" s="31"/>
      <c r="E171" s="31"/>
      <c r="F171" s="32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5.75" customHeight="1" x14ac:dyDescent="0.25">
      <c r="A172" s="33"/>
      <c r="B172" s="33"/>
      <c r="C172" s="30"/>
      <c r="D172" s="31"/>
      <c r="E172" s="31"/>
      <c r="F172" s="32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5.75" customHeight="1" x14ac:dyDescent="0.25">
      <c r="A173" s="33"/>
      <c r="B173" s="33"/>
      <c r="C173" s="30"/>
      <c r="D173" s="31"/>
      <c r="E173" s="31"/>
      <c r="F173" s="32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5.75" customHeight="1" x14ac:dyDescent="0.25">
      <c r="A174" s="33"/>
      <c r="B174" s="33"/>
      <c r="C174" s="30"/>
      <c r="D174" s="31"/>
      <c r="E174" s="31"/>
      <c r="F174" s="32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5.75" customHeight="1" x14ac:dyDescent="0.25">
      <c r="A175" s="33"/>
      <c r="B175" s="33"/>
      <c r="C175" s="30"/>
      <c r="D175" s="31"/>
      <c r="E175" s="31"/>
      <c r="F175" s="32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5.75" customHeight="1" x14ac:dyDescent="0.25">
      <c r="A176" s="33"/>
      <c r="B176" s="33"/>
      <c r="C176" s="30"/>
      <c r="D176" s="31"/>
      <c r="E176" s="31"/>
      <c r="F176" s="32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5.75" customHeight="1" x14ac:dyDescent="0.25">
      <c r="A177" s="33"/>
      <c r="B177" s="33"/>
      <c r="C177" s="30"/>
      <c r="D177" s="31"/>
      <c r="E177" s="31"/>
      <c r="F177" s="32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5.75" customHeight="1" x14ac:dyDescent="0.25">
      <c r="A178" s="33"/>
      <c r="B178" s="33"/>
      <c r="C178" s="30"/>
      <c r="D178" s="31"/>
      <c r="E178" s="31"/>
      <c r="F178" s="32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5.75" customHeight="1" x14ac:dyDescent="0.25">
      <c r="A179" s="33"/>
      <c r="B179" s="33"/>
      <c r="C179" s="30"/>
      <c r="D179" s="31"/>
      <c r="E179" s="31"/>
      <c r="F179" s="32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5.75" customHeight="1" x14ac:dyDescent="0.25">
      <c r="A180" s="33"/>
      <c r="B180" s="33"/>
      <c r="C180" s="30"/>
      <c r="D180" s="31"/>
      <c r="E180" s="31"/>
      <c r="F180" s="32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5.75" customHeight="1" x14ac:dyDescent="0.25">
      <c r="A181" s="33"/>
      <c r="B181" s="33"/>
      <c r="C181" s="30"/>
      <c r="D181" s="31"/>
      <c r="E181" s="31"/>
      <c r="F181" s="32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5.75" customHeight="1" x14ac:dyDescent="0.25">
      <c r="A182" s="33"/>
      <c r="B182" s="33"/>
      <c r="C182" s="30"/>
      <c r="D182" s="31"/>
      <c r="E182" s="31"/>
      <c r="F182" s="32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5.75" customHeight="1" x14ac:dyDescent="0.25">
      <c r="A183" s="33"/>
      <c r="B183" s="33"/>
      <c r="C183" s="30"/>
      <c r="D183" s="31"/>
      <c r="E183" s="31"/>
      <c r="F183" s="32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5.75" customHeight="1" x14ac:dyDescent="0.25">
      <c r="A184" s="33"/>
      <c r="B184" s="33"/>
      <c r="C184" s="30"/>
      <c r="D184" s="31"/>
      <c r="E184" s="31"/>
      <c r="F184" s="32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5.75" customHeight="1" x14ac:dyDescent="0.25">
      <c r="A185" s="33"/>
      <c r="B185" s="33"/>
      <c r="C185" s="30"/>
      <c r="D185" s="31"/>
      <c r="E185" s="31"/>
      <c r="F185" s="32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5.75" customHeight="1" x14ac:dyDescent="0.25">
      <c r="A186" s="33"/>
      <c r="B186" s="33"/>
      <c r="C186" s="30"/>
      <c r="D186" s="31"/>
      <c r="E186" s="31"/>
      <c r="F186" s="32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5.75" customHeight="1" x14ac:dyDescent="0.25">
      <c r="A187" s="33"/>
      <c r="B187" s="33"/>
      <c r="C187" s="30"/>
      <c r="D187" s="31"/>
      <c r="E187" s="31"/>
      <c r="F187" s="32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5.75" customHeight="1" x14ac:dyDescent="0.25">
      <c r="A188" s="33"/>
      <c r="B188" s="33"/>
      <c r="C188" s="30"/>
      <c r="D188" s="31"/>
      <c r="E188" s="31"/>
      <c r="F188" s="32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5.75" customHeight="1" x14ac:dyDescent="0.25">
      <c r="A189" s="33"/>
      <c r="B189" s="33"/>
      <c r="C189" s="30"/>
      <c r="D189" s="31"/>
      <c r="E189" s="31"/>
      <c r="F189" s="32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5.75" customHeight="1" x14ac:dyDescent="0.25">
      <c r="A190" s="33"/>
      <c r="B190" s="33"/>
      <c r="C190" s="30"/>
      <c r="D190" s="31"/>
      <c r="E190" s="31"/>
      <c r="F190" s="32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5.75" customHeight="1" x14ac:dyDescent="0.25">
      <c r="A191" s="33"/>
      <c r="B191" s="33"/>
      <c r="C191" s="30"/>
      <c r="D191" s="31"/>
      <c r="E191" s="31"/>
      <c r="F191" s="32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5.75" customHeight="1" x14ac:dyDescent="0.25">
      <c r="A192" s="33"/>
      <c r="B192" s="33"/>
      <c r="C192" s="30"/>
      <c r="D192" s="31"/>
      <c r="E192" s="31"/>
      <c r="F192" s="32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5.75" customHeight="1" x14ac:dyDescent="0.25">
      <c r="A193" s="33"/>
      <c r="B193" s="33"/>
      <c r="C193" s="30"/>
      <c r="D193" s="31"/>
      <c r="E193" s="31"/>
      <c r="F193" s="32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5.75" customHeight="1" x14ac:dyDescent="0.25">
      <c r="A194" s="33"/>
      <c r="B194" s="33"/>
      <c r="C194" s="30"/>
      <c r="D194" s="31"/>
      <c r="E194" s="31"/>
      <c r="F194" s="32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5.75" customHeight="1" x14ac:dyDescent="0.25">
      <c r="A195" s="33"/>
      <c r="B195" s="33"/>
      <c r="C195" s="30"/>
      <c r="D195" s="31"/>
      <c r="E195" s="31"/>
      <c r="F195" s="32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5.75" customHeight="1" x14ac:dyDescent="0.25">
      <c r="D196" s="34"/>
      <c r="E196" s="34"/>
      <c r="F196" s="35"/>
    </row>
    <row r="197" spans="1:26" ht="15.75" customHeight="1" x14ac:dyDescent="0.25"/>
    <row r="198" spans="1:26" ht="15.75" customHeight="1" x14ac:dyDescent="0.25"/>
    <row r="199" spans="1:26" ht="15.75" customHeight="1" x14ac:dyDescent="0.25"/>
    <row r="200" spans="1:26" ht="15.75" customHeight="1" x14ac:dyDescent="0.25"/>
    <row r="201" spans="1:26" ht="15.75" customHeight="1" x14ac:dyDescent="0.25"/>
    <row r="202" spans="1:26" ht="15.75" customHeight="1" x14ac:dyDescent="0.25"/>
    <row r="203" spans="1:26" ht="15.75" customHeight="1" x14ac:dyDescent="0.25"/>
    <row r="204" spans="1:26" ht="15.75" customHeight="1" x14ac:dyDescent="0.25"/>
    <row r="205" spans="1:26" ht="15.75" customHeight="1" x14ac:dyDescent="0.25"/>
    <row r="206" spans="1:26" ht="15.75" customHeight="1" x14ac:dyDescent="0.25"/>
    <row r="207" spans="1:26" ht="15.75" customHeight="1" x14ac:dyDescent="0.25"/>
    <row r="208" spans="1:26" ht="15.75" customHeight="1" x14ac:dyDescent="0.25"/>
    <row r="209" spans="1:1" ht="15.75" customHeight="1" x14ac:dyDescent="0.25">
      <c r="A209" s="36"/>
    </row>
    <row r="210" spans="1:1" ht="15.75" customHeight="1" x14ac:dyDescent="0.25"/>
    <row r="211" spans="1:1" ht="15.75" customHeight="1" x14ac:dyDescent="0.25"/>
    <row r="212" spans="1:1" ht="15.75" customHeight="1" x14ac:dyDescent="0.25"/>
    <row r="213" spans="1:1" ht="15.75" customHeight="1" x14ac:dyDescent="0.25"/>
    <row r="214" spans="1:1" ht="15.75" customHeight="1" x14ac:dyDescent="0.25"/>
    <row r="215" spans="1:1" ht="15.75" customHeight="1" x14ac:dyDescent="0.25"/>
    <row r="216" spans="1:1" ht="15.75" customHeight="1" x14ac:dyDescent="0.25"/>
    <row r="217" spans="1:1" ht="15.75" customHeight="1" x14ac:dyDescent="0.25"/>
    <row r="218" spans="1:1" ht="15.75" customHeight="1" x14ac:dyDescent="0.25"/>
    <row r="219" spans="1:1" ht="15.75" customHeight="1" x14ac:dyDescent="0.25"/>
    <row r="220" spans="1:1" ht="15.75" customHeight="1" x14ac:dyDescent="0.25"/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spans="1:1" ht="15.75" customHeight="1" x14ac:dyDescent="0.25"/>
    <row r="242" spans="1:1" ht="15.75" customHeight="1" x14ac:dyDescent="0.25"/>
    <row r="243" spans="1:1" ht="15.75" customHeight="1" x14ac:dyDescent="0.25"/>
    <row r="244" spans="1:1" ht="15.75" customHeight="1" x14ac:dyDescent="0.25"/>
    <row r="245" spans="1:1" ht="15.75" customHeight="1" x14ac:dyDescent="0.25"/>
    <row r="246" spans="1:1" ht="15.75" customHeight="1" x14ac:dyDescent="0.25"/>
    <row r="247" spans="1:1" ht="15.75" customHeight="1" x14ac:dyDescent="0.25"/>
    <row r="248" spans="1:1" ht="15.75" customHeight="1" x14ac:dyDescent="0.25"/>
    <row r="249" spans="1:1" ht="15.75" customHeight="1" x14ac:dyDescent="0.25"/>
    <row r="250" spans="1:1" ht="15.75" customHeight="1" x14ac:dyDescent="0.25"/>
    <row r="251" spans="1:1" ht="15.75" customHeight="1" x14ac:dyDescent="0.25"/>
    <row r="252" spans="1:1" ht="15.75" customHeight="1" x14ac:dyDescent="0.25"/>
    <row r="253" spans="1:1" ht="15.75" customHeight="1" x14ac:dyDescent="0.25"/>
    <row r="254" spans="1:1" ht="15.75" customHeight="1" x14ac:dyDescent="0.25">
      <c r="A254" s="36"/>
    </row>
    <row r="255" spans="1:1" ht="15.75" customHeight="1" x14ac:dyDescent="0.25"/>
    <row r="256" spans="1:1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spans="1:1" ht="15.75" customHeight="1" x14ac:dyDescent="0.25"/>
    <row r="290" spans="1:1" ht="15.75" customHeight="1" x14ac:dyDescent="0.25"/>
    <row r="291" spans="1:1" ht="15.75" customHeight="1" x14ac:dyDescent="0.25"/>
    <row r="292" spans="1:1" ht="15.75" customHeight="1" x14ac:dyDescent="0.25"/>
    <row r="293" spans="1:1" ht="15.75" customHeight="1" x14ac:dyDescent="0.25"/>
    <row r="294" spans="1:1" ht="15.75" customHeight="1" x14ac:dyDescent="0.25"/>
    <row r="295" spans="1:1" ht="15.75" customHeight="1" x14ac:dyDescent="0.25"/>
    <row r="296" spans="1:1" ht="15.75" customHeight="1" x14ac:dyDescent="0.25"/>
    <row r="297" spans="1:1" ht="15.75" customHeight="1" x14ac:dyDescent="0.25"/>
    <row r="298" spans="1:1" ht="15.75" customHeight="1" x14ac:dyDescent="0.25">
      <c r="A298" s="36"/>
    </row>
    <row r="299" spans="1:1" ht="15.75" customHeight="1" x14ac:dyDescent="0.25"/>
    <row r="300" spans="1:1" ht="15.75" customHeight="1" x14ac:dyDescent="0.25"/>
    <row r="301" spans="1:1" ht="15.75" customHeight="1" x14ac:dyDescent="0.25"/>
    <row r="302" spans="1:1" ht="15.75" customHeight="1" x14ac:dyDescent="0.25"/>
    <row r="303" spans="1:1" ht="15.75" customHeight="1" x14ac:dyDescent="0.25"/>
    <row r="304" spans="1:1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spans="1:1" ht="15.75" customHeight="1" x14ac:dyDescent="0.25"/>
    <row r="322" spans="1:1" ht="15.75" customHeight="1" x14ac:dyDescent="0.25"/>
    <row r="323" spans="1:1" ht="15.75" customHeight="1" x14ac:dyDescent="0.25"/>
    <row r="324" spans="1:1" ht="15.75" customHeight="1" x14ac:dyDescent="0.25"/>
    <row r="325" spans="1:1" ht="15.75" customHeight="1" x14ac:dyDescent="0.25"/>
    <row r="326" spans="1:1" ht="15.75" customHeight="1" x14ac:dyDescent="0.25"/>
    <row r="327" spans="1:1" ht="15.75" customHeight="1" x14ac:dyDescent="0.25"/>
    <row r="328" spans="1:1" ht="15.75" customHeight="1" x14ac:dyDescent="0.25"/>
    <row r="329" spans="1:1" ht="15.75" customHeight="1" x14ac:dyDescent="0.25"/>
    <row r="330" spans="1:1" ht="15.75" customHeight="1" x14ac:dyDescent="0.25"/>
    <row r="331" spans="1:1" ht="15.75" customHeight="1" x14ac:dyDescent="0.25"/>
    <row r="332" spans="1:1" ht="15.75" customHeight="1" x14ac:dyDescent="0.25"/>
    <row r="333" spans="1:1" ht="15.75" customHeight="1" x14ac:dyDescent="0.25"/>
    <row r="334" spans="1:1" ht="15.75" customHeight="1" x14ac:dyDescent="0.25"/>
    <row r="335" spans="1:1" ht="15.75" customHeight="1" x14ac:dyDescent="0.25"/>
    <row r="336" spans="1:1" ht="15.75" customHeight="1" x14ac:dyDescent="0.25">
      <c r="A336" s="36"/>
    </row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spans="1:1" ht="15.75" customHeight="1" x14ac:dyDescent="0.25"/>
    <row r="370" spans="1:1" ht="15.75" customHeight="1" x14ac:dyDescent="0.25">
      <c r="A370" s="36"/>
    </row>
    <row r="371" spans="1:1" ht="15.75" customHeight="1" x14ac:dyDescent="0.25"/>
    <row r="372" spans="1:1" ht="15.75" customHeight="1" x14ac:dyDescent="0.25"/>
    <row r="373" spans="1:1" ht="15.75" customHeight="1" x14ac:dyDescent="0.25"/>
    <row r="374" spans="1:1" ht="15.75" customHeight="1" x14ac:dyDescent="0.25"/>
    <row r="375" spans="1:1" ht="15.75" customHeight="1" x14ac:dyDescent="0.25"/>
    <row r="376" spans="1:1" ht="15.75" customHeight="1" x14ac:dyDescent="0.25"/>
    <row r="377" spans="1:1" ht="15.75" customHeight="1" x14ac:dyDescent="0.25"/>
    <row r="378" spans="1:1" ht="15.75" customHeight="1" x14ac:dyDescent="0.25"/>
    <row r="379" spans="1:1" ht="15.75" customHeight="1" x14ac:dyDescent="0.25"/>
    <row r="380" spans="1:1" ht="15.75" customHeight="1" x14ac:dyDescent="0.25"/>
    <row r="381" spans="1:1" ht="15.75" customHeight="1" x14ac:dyDescent="0.25"/>
    <row r="382" spans="1:1" ht="15.75" customHeight="1" x14ac:dyDescent="0.25"/>
    <row r="383" spans="1:1" ht="15.75" customHeight="1" x14ac:dyDescent="0.25"/>
    <row r="384" spans="1:1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Test Plan&amp;report</vt:lpstr>
      <vt:lpstr>Revisions</vt:lpstr>
      <vt:lpstr>Tra cứu quỹ đất</vt:lpstr>
      <vt:lpstr>WFDesign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2026-05-08T16:57:25Z</dcterms:created>
  <dcterms:modified xsi:type="dcterms:W3CDTF">2026-05-12T10:05:46Z</dcterms:modified>
</cp:coreProperties>
</file>