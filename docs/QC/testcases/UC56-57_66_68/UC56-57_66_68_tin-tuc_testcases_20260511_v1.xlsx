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MC\mbfs-bqa\docs\QC-MOBILE\testcases\UC56-57_66_68\"/>
    </mc:Choice>
  </mc:AlternateContent>
  <bookViews>
    <workbookView xWindow="0" yWindow="0" windowWidth="19200" windowHeight="6195" activeTab="3"/>
  </bookViews>
  <sheets>
    <sheet name="Overview" sheetId="1" r:id="rId1"/>
    <sheet name="Test Plan&amp;report" sheetId="2" r:id="rId2"/>
    <sheet name="Revisions" sheetId="3" r:id="rId3"/>
    <sheet name="Tin tức" sheetId="4" r:id="rId4"/>
    <sheet name="Master Plan" sheetId="5" state="hidden" r:id="rId5"/>
    <sheet name="WFDesign" sheetId="6" r:id="rId6"/>
  </sheets>
  <externalReferences>
    <externalReference r:id="rId7"/>
  </externalReferences>
  <calcPr calcId="162913"/>
</workbook>
</file>

<file path=xl/calcChain.xml><?xml version="1.0" encoding="utf-8"?>
<calcChain xmlns="http://schemas.openxmlformats.org/spreadsheetml/2006/main">
  <c r="M5" i="4" l="1"/>
  <c r="J5" i="4"/>
  <c r="M4" i="4"/>
  <c r="J4" i="4"/>
  <c r="D4" i="4"/>
  <c r="B4" i="4"/>
  <c r="M3" i="4"/>
  <c r="J3" i="4"/>
  <c r="M2" i="4"/>
  <c r="J2" i="4"/>
  <c r="Q1" i="4"/>
  <c r="M1" i="4"/>
  <c r="J1" i="4"/>
  <c r="O1" i="4" s="1"/>
  <c r="D5" i="3"/>
  <c r="A5" i="3"/>
  <c r="P18" i="2"/>
  <c r="B18" i="2"/>
  <c r="P17" i="2"/>
  <c r="B17" i="2"/>
  <c r="P16" i="2"/>
  <c r="B16" i="2"/>
  <c r="P15" i="2"/>
  <c r="B15" i="2"/>
  <c r="J6" i="2"/>
  <c r="I6" i="2"/>
  <c r="H6" i="2"/>
  <c r="G6" i="2"/>
  <c r="F6" i="2"/>
  <c r="E6" i="2"/>
  <c r="D6" i="2" s="1"/>
  <c r="J5" i="2"/>
  <c r="I5" i="2"/>
  <c r="H5" i="2"/>
  <c r="G5" i="2"/>
  <c r="F5" i="2"/>
  <c r="E5" i="2"/>
  <c r="D5" i="2"/>
  <c r="C5" i="2"/>
  <c r="J4" i="2"/>
  <c r="I4" i="2"/>
  <c r="H4" i="2"/>
  <c r="G4" i="2"/>
  <c r="F4" i="2"/>
  <c r="E4" i="2"/>
  <c r="D4" i="2"/>
  <c r="C4" i="2"/>
  <c r="J3" i="2"/>
  <c r="J8" i="2" s="1"/>
  <c r="I3" i="2"/>
  <c r="I8" i="2" s="1"/>
  <c r="H3" i="2"/>
  <c r="H8" i="2" s="1"/>
  <c r="G3" i="2"/>
  <c r="G8" i="2" s="1"/>
  <c r="F3" i="2"/>
  <c r="F8" i="2" s="1"/>
  <c r="E3" i="2"/>
  <c r="E8" i="2" s="1"/>
  <c r="D3" i="2"/>
  <c r="C3" i="2"/>
  <c r="D8" i="2" l="1"/>
  <c r="C8" i="2"/>
  <c r="C6" i="2"/>
</calcChain>
</file>

<file path=xl/comments1.xml><?xml version="1.0" encoding="utf-8"?>
<comments xmlns="http://schemas.openxmlformats.org/spreadsheetml/2006/main">
  <authors>
    <author>tc={0ded94cd-78c9-4022-8c64-f62810cdac36}</author>
  </authors>
  <commentList>
    <comment ref="A1" authorId="0" shapeId="0">
      <text>
        <r>
          <rPr>
            <sz val="10"/>
            <color rgb="FF000000"/>
            <rFont val="Arial"/>
            <charset val="134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@anh.nguyen14@sotatek.com bác gom case thành công vs không thành công lại tương tự như bên "Quản lý tk nhà đầu tư" nhen
Reply:
	Done ạ
Reply:
	mark đỏ ạ
</t>
        </r>
      </text>
    </comment>
  </commentList>
</comments>
</file>

<file path=xl/sharedStrings.xml><?xml version="1.0" encoding="utf-8"?>
<sst xmlns="http://schemas.openxmlformats.org/spreadsheetml/2006/main" count="1000" uniqueCount="737">
  <si>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</si>
  <si>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</si>
  <si>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</si>
  <si>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</si>
  <si>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</si>
  <si>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</si>
  <si>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</si>
  <si>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</si>
  <si>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</si>
  <si>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</si>
  <si>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</si>
  <si>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Ngan.vu</t>
  </si>
  <si>
    <t>Approver:</t>
  </si>
  <si>
    <t>Chung.vu</t>
  </si>
  <si>
    <t>QC</t>
  </si>
  <si>
    <t>PM</t>
  </si>
  <si>
    <t>Created Date:</t>
  </si>
  <si>
    <t>Approved Date:</t>
  </si>
  <si>
    <t>Version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</si>
  <si>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</si>
  <si>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</si>
  <si>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</si>
  <si>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</si>
  <si>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</si>
  <si>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</si>
  <si>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</si>
  <si>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</si>
  <si>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</si>
  <si>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</si>
  <si>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FUNC56</t>
  </si>
  <si>
    <t>FUNC57</t>
  </si>
  <si>
    <t>FUNC67</t>
  </si>
  <si>
    <t>FUNC68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</si>
  <si>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</si>
  <si>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</si>
  <si>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</si>
  <si>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</si>
  <si>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</si>
  <si>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</si>
  <si>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</si>
  <si>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</si>
  <si>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</si>
  <si>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</si>
  <si>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</si>
  <si>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</si>
  <si>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</si>
  <si>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</si>
  <si>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</si>
  <si>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</si>
  <si>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</si>
  <si>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Tra cứu tin tức theo lĩnh vực đầu tư trên mobile</t>
  </si>
  <si>
    <t>Review</t>
  </si>
  <si>
    <t>Tra cứu tin tức về chính sách đầu tư trên mobile</t>
  </si>
  <si>
    <t>Tra cứu tin tức Dịch vụ công trên mobile</t>
  </si>
  <si>
    <t>Tra cứu câu chuyện thành công trên mobile</t>
  </si>
  <si>
    <t>HISTORY</t>
  </si>
  <si>
    <t>History</t>
  </si>
  <si>
    <t>Date</t>
  </si>
  <si>
    <t>Content</t>
  </si>
  <si>
    <t>Author</t>
  </si>
  <si>
    <t>Thêm mới</t>
  </si>
  <si>
    <t>System Name</t>
  </si>
  <si>
    <t>Cổng Một Cửa Đầu Tư Quốc Gia - Ứng dụng di động</t>
  </si>
  <si>
    <t>MBFS_UC56-57_66_68_TinTuc_Testcase_v1.0</t>
  </si>
  <si>
    <t>Browser</t>
  </si>
  <si>
    <t>iOS</t>
  </si>
  <si>
    <t>Android</t>
  </si>
  <si>
    <t>Number of Test cases</t>
  </si>
  <si>
    <t>Number of Bugs</t>
  </si>
  <si>
    <t>Module</t>
  </si>
  <si>
    <t>Khai thác tin tức công bố trên Mobile</t>
  </si>
  <si>
    <t>Created By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</si>
  <si>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</si>
  <si>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</si>
  <si>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</si>
  <si>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</si>
  <si>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</si>
  <si>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</si>
  <si>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</si>
  <si>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</si>
  <si>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</si>
  <si>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</si>
  <si>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</si>
  <si>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</si>
  <si>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</si>
  <si>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</si>
  <si>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Tin tức</t>
  </si>
  <si>
    <t>Check UI/UX</t>
  </si>
  <si>
    <t>TC_001</t>
  </si>
  <si>
    <t>Kiểm tra UI/UX màn hình Danh sách Tin tức khi có dữ liệu</t>
  </si>
  <si>
    <t>1. Đăng nhập thành công vào ứng dụng
2. Có dữ liệu bài viết trong hệ thống</t>
  </si>
  <si>
    <t>1. Từ Sidebar, nhấp vào mục "Tin tức"
2. Kiểm tra hiển thị màn hình [Danh sách Tin tức]</t>
  </si>
  <si>
    <t>2.
- Hiển thị đầy đủ các item, màu sắc, font chữ, layout giống Design
(Tham khảo ảnh Màn hình Danh sách Tin tức sheet WFDesign)</t>
  </si>
  <si>
    <t>TC_002</t>
  </si>
  <si>
    <t>Kiểm tra Header hiển thị tiêu đề "Tin tức" cố định</t>
  </si>
  <si>
    <t>1. Đăng nhập thành công
2. Mở màn hình [Danh sách Tin tức]</t>
  </si>
  <si>
    <t>1. Kiểm tra hiển thị Header màn hình [Danh sách Tin tức]</t>
  </si>
  <si>
    <t>1.
- Header nền đỏ đậm
- Tiêu đề "Tin tức" nằm giữa, màu trắng
- Icon kính lúp màu trắng bên phải
- Icon filter màu trắng ngoài cùng bên phải</t>
  </si>
  <si>
    <t>TC_003</t>
  </si>
  <si>
    <t>Kiểm tra Tab Bar hiển thị đầy đủ 19 Tab</t>
  </si>
  <si>
    <t>1. Kiểm tra hiển thị Tab Bar bên dưới Header</t>
  </si>
  <si>
    <t>1.
- Hiển thị đầy đủ 19 Tab: Tất cả, Chính sách nổi bật, Chính sách đầu tư, Dịch vụ công, Kinh tế, Văn hóa, Giao thông, Y tế, Lao động, Xã hội, Du lịch, Thể thao, Quốc tế, Chính trị, Thời sự, Giáo dục, Tài chính, Câu chuyện thành công, Khác
- Tab "Tất cả" mặc định (nền đỏ đậm, chữ trắng)
- Các tab còn lại: nền xám nhạt, chữ đen
- Hỗ trợ cuộn ngang</t>
  </si>
  <si>
    <t>TC_004</t>
  </si>
  <si>
    <t>Kiểm tra section "Tin nổi bật" khi có &gt;=2 bài</t>
  </si>
  <si>
    <t>1. Đăng nhập thành công
2. Mở màn hình [Danh sách Tin tức]
3. Có &gt;=2 bài Tin nổi bật</t>
  </si>
  <si>
    <t>1. Kiểm tra hiển thị section "Tin nổi bật"</t>
  </si>
  <si>
    <t>1.
- Carousel cuộn ngang, auto-scroll 5s
- Không có dot indicator
- Card: nền ảnh cover + overlay tối, Tag đỏ, Tiêu đề trắng đậm max 2 dòng, Trích dẫn max 2 dòng, Footer: ngày + tên tác giả</t>
  </si>
  <si>
    <t>TC_005</t>
  </si>
  <si>
    <t>Kiểm tra section "Tin nổi bật" khi chỉ có 1 bài</t>
  </si>
  <si>
    <t>1. Đăng nhập thành công
2. Mở màn hình [Danh sách Tin tức]
3. Chỉ có 1 bài Tin nổi bật</t>
  </si>
  <si>
    <t>1.
- Hiển thị 1 card tĩnh, không cuộn ngang
- Không có auto-scroll</t>
  </si>
  <si>
    <t>TC_006</t>
  </si>
  <si>
    <t>Kiểm tra section "Tin nổi bật" khi không có bài nào</t>
  </si>
  <si>
    <t>1. Đăng nhập thành công
2. Mở màn hình [Danh sách Tin tức]
3. Không có bài Tin nổi bật</t>
  </si>
  <si>
    <t>1.
- Section ẩn hoàn toàn
- Section "Tin tức mới nhất" kéo lên trên</t>
  </si>
  <si>
    <t>TC_007</t>
  </si>
  <si>
    <t>Kiểm tra section "Tin tức mới nhất" hiển thị đúng cấu trúc</t>
  </si>
  <si>
    <t>1. Đăng nhập thành công
2. Mở màn hình [Danh sách Tin tức]
3. Có dữ liệu bài viết</t>
  </si>
  <si>
    <t>1. Kiểm tra hiển thị section "Tin tức mới nhất"</t>
  </si>
  <si>
    <t>1.
- Label "Tin tức mới nhất" font đậm, căn trái
- Danh sách cuộn dọc
- Card: Thumbnail trái (vuông, bo góc), phải: Tag Category (nền nhạt, chữ đỏ), Tiêu đề đậm max 2 dòng, Trích dẫn xám max 2 dòng, Footer ngày + tác giả</t>
  </si>
  <si>
    <t>TC_008</t>
  </si>
  <si>
    <t>Kiểm tra trạng thái rỗng "Không có dữ liệu."</t>
  </si>
  <si>
    <t>1. Đăng nhập thành công
2. Mở màn hình [Danh sách Tin tức]
3. API trả về danh sách rỗng</t>
  </si>
  <si>
    <t>1. Kiểm tra hiển thị màn hình</t>
  </si>
  <si>
    <t>1. Hiển thị "Không có dữ liệu." (CMR-14)</t>
  </si>
  <si>
    <t>TC_009</t>
  </si>
  <si>
    <t>Kiểm tra Skeleton Loading khi tải dữ liệu lần đầu</t>
  </si>
  <si>
    <t>1. Đăng nhập thành công</t>
  </si>
  <si>
    <t>1. Từ Sidebar, nhấp vào "Tin tức"
2. Kiểm tra hiển thị trong lúc tải</t>
  </si>
  <si>
    <t>2.
- Skeleton Loading cho cả 2 section
- Biến mất khi data sẵn sàng</t>
  </si>
  <si>
    <t>TC_010</t>
  </si>
  <si>
    <t>Kiểm tra nút Quay lại hiển thị khi đi từ màn khác</t>
  </si>
  <si>
    <t>1. Đăng nhập thành công
2. Điều hướng đến [Danh sách Tin tức] từ màn khác</t>
  </si>
  <si>
    <t>1. Kiểm tra hiển thị Header</t>
  </si>
  <si>
    <t>1. Nút Quay lại hiển thị bên trái Header</t>
  </si>
  <si>
    <t>TC_011</t>
  </si>
  <si>
    <t>Kiểm tra nút Quay lại ẩn khi ở tab chính</t>
  </si>
  <si>
    <t>1. Đăng nhập thành công
2. Mở [Danh sách Tin tức] từ tab chính</t>
  </si>
  <si>
    <t>1. Nút Quay lại không hiển thị</t>
  </si>
  <si>
    <t>Check Function</t>
  </si>
  <si>
    <t>TC_012</t>
  </si>
  <si>
    <t>[Nút Quay lại] Kiểm tra nhấn nút Quay lại</t>
  </si>
  <si>
    <t>1. Nhấp vào nút Quay lại (←)</t>
  </si>
  <si>
    <t>1. Quay về đúng màn hình trước đó</t>
  </si>
  <si>
    <t>TC_013</t>
  </si>
  <si>
    <t>[Tab Bar] Kiểm tra cuộn ngang Tab Bar</t>
  </si>
  <si>
    <t>1. Vuốt ngang Tab Bar từ phải sang trái
2. Vuốt từ trái sang phải</t>
  </si>
  <si>
    <t>1. Hiển thị các tab phía bên phải
2. Quay lại tab đầu tiên
- Cuộn mượt mà</t>
  </si>
  <si>
    <t>TC_014</t>
  </si>
  <si>
    <t>[Tab Bar] Kiểm tra đổi tab highlight đúng</t>
  </si>
  <si>
    <t>1. Nhấp vào tab "Kinh tế"</t>
  </si>
  <si>
    <t>1.
- Tab "Kinh tế" Active: nền đỏ đậm, chữ trắng
- Tab "Tất cả" Inactive: nền xám nhạt</t>
  </si>
  <si>
    <t>TC_015</t>
  </si>
  <si>
    <t>[Tab Bar] Kiểm tra đổi tab tải lại đúng danh mục</t>
  </si>
  <si>
    <t>1. Đăng nhập thành công
2. Mở [Danh sách Tin tức] tab "Tất cả"</t>
  </si>
  <si>
    <t>1. Nhấp vào tab "Kinh tế"
2. Kiểm tra danh sách</t>
  </si>
  <si>
    <t>2. Danh sách chỉ hiển thị bài thuộc "Kinh tế"</t>
  </si>
  <si>
    <t>TC_016</t>
  </si>
  <si>
    <t>[Tab Bar] Kiểm tra đổi tab hiển thị đúng danh mục "Chính sách nổi bật"</t>
  </si>
  <si>
    <t>1. Đăng nhập thành công
2. Mở [Danh sách Tin tức] tab "Tất cả"
3. Có bài viết thuộc danh mục "Chính sách nổi bật"</t>
  </si>
  <si>
    <t>1. Nhấp vào tab "Chính sách nổi bật"
2. Kiểm tra danh sách hiển thị</t>
  </si>
  <si>
    <t>2.
- Tab "Chính sách nổi bật" Active: nền đỏ đậm, chữ trắng
- Danh sách chỉ hiển thị bài thuộc danh mục "Chính sách nổi bật"
- Các bài không thuộc danh mục này không hiển thị</t>
  </si>
  <si>
    <t>TC_017</t>
  </si>
  <si>
    <t>[Tab Bar] Kiểm tra đổi tab hiển thị đúng danh mục "Chính sách đầu tư"</t>
  </si>
  <si>
    <t>1. Đăng nhập thành công
2. Mở [Danh sách Tin tức] tab "Tất cả"
3. Có bài viết thuộc danh mục "Chính sách đầu tư"</t>
  </si>
  <si>
    <t>1. Nhấp vào tab "Chính sách đầu tư"
2. Kiểm tra danh sách hiển thị</t>
  </si>
  <si>
    <t>2.
- Tab "Chính sách đầu tư" Active: nền đỏ đậm, chữ trắng
- Danh sách chỉ hiển thị bài thuộc danh mục "Chính sách đầu tư"
- Các bài không thuộc danh mục này không hiển thị</t>
  </si>
  <si>
    <t>TC_018</t>
  </si>
  <si>
    <t>[Tab Bar] Kiểm tra đổi tab hiển thị đúng danh mục "Dịch vụ công"</t>
  </si>
  <si>
    <t>1. Đăng nhập thành công
2. Mở [Danh sách Tin tức] tab "Tất cả"
3. Có bài viết thuộc danh mục "Dịch vụ công"</t>
  </si>
  <si>
    <t>1. Nhấp vào tab "Dịch vụ công"
2. Kiểm tra danh sách hiển thị</t>
  </si>
  <si>
    <t>2.
- Tab "Dịch vụ công" Active: nền đỏ đậm, chữ trắng
- Danh sách chỉ hiển thị bài thuộc danh mục "Dịch vụ công"
- Các bài không thuộc danh mục này không hiển thị</t>
  </si>
  <si>
    <t>TC_019</t>
  </si>
  <si>
    <t>[Tab Bar] Kiểm tra đổi tab hiển thị đúng danh mục "Giao thông"</t>
  </si>
  <si>
    <t>1. Đăng nhập thành công
2. Mở [Danh sách Tin tức] tab "Tất cả"
3. Có bài viết thuộc danh mục "Giao thông"</t>
  </si>
  <si>
    <t>1. Nhấp vào tab "Giao thông"
2. Kiểm tra danh sách hiển thị</t>
  </si>
  <si>
    <t>2.
- Tab "Giao thông" Active: nền đỏ đậm, chữ trắng
- Danh sách chỉ hiển thị bài thuộc danh mục "Giao thông"
- Các bài không thuộc danh mục này không hiển thị</t>
  </si>
  <si>
    <t>TC_020</t>
  </si>
  <si>
    <t>[Tab Bar] Kiểm tra đổi tab hiển thị đúng danh mục "Y tế"</t>
  </si>
  <si>
    <t>1. Đăng nhập thành công
2. Mở [Danh sách Tin tức] tab "Tất cả"
3. Có bài viết thuộc danh mục "Y tế"</t>
  </si>
  <si>
    <t>1. Nhấp vào tab "Y tế"
2. Kiểm tra danh sách hiển thị</t>
  </si>
  <si>
    <t>2.
- Tab "Y tế" Active: nền đỏ đậm, chữ trắng
- Danh sách chỉ hiển thị bài thuộc danh mục "Y tế"
- Các bài không thuộc danh mục này không hiển thị</t>
  </si>
  <si>
    <t>TC_021</t>
  </si>
  <si>
    <t>[Tab Bar] Kiểm tra debounce double-tap tab</t>
  </si>
  <si>
    <t>1. Đăng nhập thành công
2. Mở [Danh sách Tin tức]</t>
  </si>
  <si>
    <t>1. Nhấp nhanh 2 lần vào tab "Văn hóa"</t>
  </si>
  <si>
    <t>1. Hệ thống chỉ gọi API 1 lần, tải lại 1 lần</t>
  </si>
  <si>
    <t>CMR-18</t>
  </si>
  <si>
    <t>TC_022</t>
  </si>
  <si>
    <t>[Carousel] Kiểm tra cuộn ngang thủ công</t>
  </si>
  <si>
    <t>1. Đăng nhập thành công
2. Mở [Danh sách Tin tức]
3. Có &gt;=2 bài Tin nổi bật</t>
  </si>
  <si>
    <t>1. Vuốt ngang trên carousel</t>
  </si>
  <si>
    <t>1. Carousel chuyển sang card tiếp theo, cuộn mượt mà</t>
  </si>
  <si>
    <t>TC_023</t>
  </si>
  <si>
    <t>[Card Tin nổi bật] Kiểm tra hiển thị cấu trúc card</t>
  </si>
  <si>
    <t>1. Đăng nhập thành công
2. Mở [Danh sách Tin tức]
3. Có bài Tin nổi bật</t>
  </si>
  <si>
    <t>1. Kiểm tra hiển thị card Tin nổi bật</t>
  </si>
  <si>
    <t>1.
- Nền thẻ là ảnh cover của bài viết, có overlay tối màu để nổi chữ
- Góc trên trái có Tag đỏ "Tin nổi bật"
- Tiêu đề: nằm ở giữa, màu trắng, font đậm to
- Trích dẫn nội dung: dưới tiêu đề
- Footer: Icon đồng hồ + Ngày đăng (DD/MM/YYYY) &amp; Icon user + Full tên người đăng bài</t>
  </si>
  <si>
    <t>TC_024</t>
  </si>
  <si>
    <t>[Card Tin nổi bật] Kiểm tra tiêu đề &gt;2 dòng truncate với ellipsis</t>
  </si>
  <si>
    <t>1. Đăng nhập thành công
2. Mở [Danh sách Tin tức]
3. Có bài Tin nổi bật với tiêu đề rất dài (&gt;2 dòng)</t>
  </si>
  <si>
    <t>1. Kiểm tra hiển thị tiêu đề trên card Tin nổi bật</t>
  </si>
  <si>
    <t>1. Tiêu đề hiển thị tối đa 2 dòng, cuối dòng thứ 2 có dấu "..." (ellipsis)</t>
  </si>
  <si>
    <t>TC_025</t>
  </si>
  <si>
    <t>[Card Tin nổi bật] Kiểm tra trích dẫn &gt;2 dòng truncate với ellipsis</t>
  </si>
  <si>
    <t>1. Đăng nhập thành công
2. Mở [Danh sách Tin tức]
3. Có bài Tin nổi bật với nội dung trích dẫn dài (&gt;2 dòng)</t>
  </si>
  <si>
    <t>1. Kiểm tra hiển thị trích dẫn trên card Tin nổi bật</t>
  </si>
  <si>
    <t>1. Trích dẫn hiển thị tối đa 2 dòng, cuối dòng thứ 2 có dấu "..." (ellipsis)</t>
  </si>
  <si>
    <t>TC_026</t>
  </si>
  <si>
    <t>[Card Tin nổi bật] Kiểm tra tên người đăng dài truncate</t>
  </si>
  <si>
    <t>1. Đăng nhập thành công
2. Mở [Danh sách Tin tức]
3. Có bài Tin nổi bật với tên tác giả rất dài</t>
  </si>
  <si>
    <t>1. Kiểm tra hiển thị tên người đăng trên card Tin nổi bật</t>
  </si>
  <si>
    <t>1. Tên người đăng hiển thị đến max-width màn hình, vượt quá thì truncate với "..." ở cuối, không vỡ layout</t>
  </si>
  <si>
    <t>TC_027</t>
  </si>
  <si>
    <t>[Card Tin nổi bật] Kiểm tra tap card mở Chi tiết</t>
  </si>
  <si>
    <t>1. Nhấp vào card Tin nổi bật</t>
  </si>
  <si>
    <t>1. Chuyển đến màn hình [Chi tiết bài viết]</t>
  </si>
  <si>
    <t>TC_028</t>
  </si>
  <si>
    <t>[Card Tin nổi bật] Kiểm tra debounce double-tap</t>
  </si>
  <si>
    <t>1. Nhấp nhanh 2 lần vào card Tin nổi bật</t>
  </si>
  <si>
    <t>1. Chỉ navigate 1 lần, không push 2 màn hình</t>
  </si>
  <si>
    <t>TC_029</t>
  </si>
  <si>
    <t>[Card Tin mới nhất] Kiểm tra hiển thị cấu trúc card</t>
  </si>
  <si>
    <t>1. Đăng nhập thành công
2. Mở [Danh sách Tin tức]
3. Có bài viết trong danh sách Tin tức mới nhất</t>
  </si>
  <si>
    <t>1. Kiểm tra hiển thị card Tin mới nhất</t>
  </si>
  <si>
    <t>1.
- Bên trái: Ảnh Thumbnail (hình vuông, bo góc)
- Bên phải:
  + Tag Category (nền nhạt, chữ đỏ)
  + Tiêu đề font đậm, màu đen
  + Trích dẫn mô tả màu xám
  + Footer: Icon đồng hồ + Ngày đăng (DD/MM/YYYY) &amp; Icon user + Full tên người đăng bài
- Toàn bộ diện tích thẻ là vùng có thể tap</t>
  </si>
  <si>
    <t>TC_030</t>
  </si>
  <si>
    <t>[Card Tin mới nhất] Kiểm tra tiêu đề &gt;2 dòng truncate</t>
  </si>
  <si>
    <t>1. Đăng nhập thành công
2. Có bài Tin mới nhất với tiêu đề rất dài (&gt;2 dòng)</t>
  </si>
  <si>
    <t>1. Kiểm tra hiển thị tiêu đề trên card Tin mới nhất</t>
  </si>
  <si>
    <t>TC_031</t>
  </si>
  <si>
    <t>[Card Tin mới nhất] Kiểm tra trích dẫn &gt;2 dòng truncate</t>
  </si>
  <si>
    <t>1. Đăng nhập thành công
2. Có bài Tin mới nhất với trích dẫn mô tả dài (&gt;2 dòng)</t>
  </si>
  <si>
    <t>1. Kiểm tra hiển thị trích dẫn trên card Tin mới nhất</t>
  </si>
  <si>
    <t>TC_032</t>
  </si>
  <si>
    <t>[Card Tin mới nhất] Kiểm tra tên người đăng dài truncate</t>
  </si>
  <si>
    <t>1. Đăng nhập thành công
2. Có bài Tin mới nhất với tên tác giả rất dài</t>
  </si>
  <si>
    <t>1. Kiểm tra hiển thị tên người đăng trên card Tin mới nhất</t>
  </si>
  <si>
    <t>1. Tên hiển thị đến max-width, vượt quá thì truncate với "..." ở cuối</t>
  </si>
  <si>
    <t>TC_033</t>
  </si>
  <si>
    <t>[Card Tin mới nhất] Kiểm tra Tag Category text dài wrap</t>
  </si>
  <si>
    <t>1. Đăng nhập thành công
2. Có bài Tin mới nhất thuộc danh mục tên dài</t>
  </si>
  <si>
    <t>1. Kiểm tra hiển thị Tag Category trên card</t>
  </si>
  <si>
    <t>1. Tag wrap xuống dòng, không truncate</t>
  </si>
  <si>
    <t>TC_034</t>
  </si>
  <si>
    <t>[Card Tin mới nhất] Kiểm tra Thumbnail null hiển thị placeholder</t>
  </si>
  <si>
    <t>1. Đăng nhập thành công
2. Có bài Tin mới nhất không có thumbnail (API trả null hoặc ảnh lỗi)</t>
  </si>
  <si>
    <t>1. Kiểm tra hiển thị thumbnail trên card</t>
  </si>
  <si>
    <t>1. Hiển thị placeholder icon (nền xám, icon ảnh broken)</t>
  </si>
  <si>
    <t>TC_035</t>
  </si>
  <si>
    <t>[Card Tin mới nhất] Kiểm tra tap card mở Chi tiết</t>
  </si>
  <si>
    <t>1. Đăng nhập thành công
2. Mở [Danh sách Tin tức]
3. Có bài Tin mới nhất</t>
  </si>
  <si>
    <t>1. Nhấp vào bất kỳ vị trí nào trên card Tin mới nhất</t>
  </si>
  <si>
    <t>TC_036</t>
  </si>
  <si>
    <t>[Card Tin mới nhất] Kiểm tra debounce double-tap</t>
  </si>
  <si>
    <t>1. Nhấp nhanh 2 lần vào card Tin mới nhất</t>
  </si>
  <si>
    <t>TC_037</t>
  </si>
  <si>
    <t>[Exclusion Rule] Bài Tin nổi bật không lặp ở Tin mới nhất</t>
  </si>
  <si>
    <t>1. Kiểm tra section "Tin nổi bật"
2. Kiểm tra section "Tin tức mới nhất"</t>
  </si>
  <si>
    <t>2. Bài đã hiển thị ở Tin nổi bật KHÔNG xuất hiện ở Tin mới nhất</t>
  </si>
  <si>
    <t>TC_038</t>
  </si>
  <si>
    <t>[Sắp xếp] Tin mới nhất theo ngày giảm dần</t>
  </si>
  <si>
    <t>1. Đăng nhập thành công
2. Mở [Danh sách Tin tức]
3. Có nhiều bài viết</t>
  </si>
  <si>
    <t>1. Kiểm tra thứ tự danh sách "Tin tức mới nhất"</t>
  </si>
  <si>
    <t>1. Bài mới nhất hiển thị đầu tiên</t>
  </si>
  <si>
    <t>TC_039</t>
  </si>
  <si>
    <t>[Card Tin mới nhất] Kiểm tra trạng thái rỗng khi chỉ section Tin mới nhất không có data</t>
  </si>
  <si>
    <t>1. Đăng nhập thành công
2. Mở [Danh sách Tin tức]
3. Có bài Tin nổi bật (section Tin nổi bật có data)
4. API Tin tức mới nhất trả về danh sách rỗng</t>
  </si>
  <si>
    <t>1.
- Section "Tin nổi bật" hiển thị bình thường
- Section "Tin tức mới nhất" hiển thị "Không có dữ liệu."</t>
  </si>
  <si>
    <t>CMR-14</t>
  </si>
  <si>
    <t>TC_040</t>
  </si>
  <si>
    <t>[Lazy Load] Tải thêm 20 bài khi cuộn đến cuối</t>
  </si>
  <si>
    <t>1. Đăng nhập thành công
2. Mở [Danh sách Tin tức]
3. Có &gt;20 bài</t>
  </si>
  <si>
    <t>1. Cuộn xuống cuối danh sách</t>
  </si>
  <si>
    <t>1. Tải thêm 20 bài + loading indicator</t>
  </si>
  <si>
    <t>TC_041</t>
  </si>
  <si>
    <t>[Lazy Load] Khi đã tải hết data</t>
  </si>
  <si>
    <t>1. Đăng nhập thành công
2. Đã tải hết toàn bộ bài viết</t>
  </si>
  <si>
    <t>1. Cuộn xuống cuối</t>
  </si>
  <si>
    <t>1. Ẩn loading, không gọi thêm API</t>
  </si>
  <si>
    <t>TC_042</t>
  </si>
  <si>
    <t>[Lazy Load] Mất mạng khi đang lazy load</t>
  </si>
  <si>
    <t>1. Đăng nhập thành công
2. Có &gt;20 bài
3. Đã tải trang đầu</t>
  </si>
  <si>
    <t>1. Tắt mạng
2. Cuộn xuống cuối</t>
  </si>
  <si>
    <t>2. Giữ data cũ + hiển thị thông báo "Không thể kết nối. Vui lòng kiểm tra mạng và thử lại."</t>
  </si>
  <si>
    <t>CMR-07</t>
  </si>
  <si>
    <t>TC_043</t>
  </si>
  <si>
    <t>[Pull to Refresh] Kéo xuống làm mới toàn bộ</t>
  </si>
  <si>
    <t>1. Kéo xuống (Pull to Refresh)</t>
  </si>
  <si>
    <t>1. Tải lại toàn bộ dữ liệu mới nhất</t>
  </si>
  <si>
    <t>TC_044</t>
  </si>
  <si>
    <t>[Pull to Refresh] Thất bại khi mất mạng</t>
  </si>
  <si>
    <t>1. Đăng nhập thành công
2. Mở [Danh sách Tin tức]
3. Tắt mạng</t>
  </si>
  <si>
    <t>1. Giữ data cũ + thông báo lỗi</t>
  </si>
  <si>
    <t>TC_045</t>
  </si>
  <si>
    <t>[Đa ngôn ngữ] Đổi ngôn ngữ lọc lại bài viết</t>
  </si>
  <si>
    <t>1. Đổi ngôn ngữ sang English
2. Kiểm tra hiển thị</t>
  </si>
  <si>
    <t>2.
- Bài viết lọc theo ngôn ngữ mới
- Tab names, labels, placeholder được dịch</t>
  </si>
  <si>
    <t>TC_046</t>
  </si>
  <si>
    <t>[Đa ngôn ngữ] Không có bài theo ngôn ngữ đã chọn</t>
  </si>
  <si>
    <t>1. Đăng nhập thành công
2. Đổi sang ngôn ngữ không có bài</t>
  </si>
  <si>
    <t>1. Kiểm tra hiển thị</t>
  </si>
  <si>
    <t>1. Hiển thị thông báo "Không có dữ liệu."</t>
  </si>
  <si>
    <t>TC_047</t>
  </si>
  <si>
    <t>[Đa ngôn ngữ] Không dịch nội dung bài viết sang ngôn ngữ khác</t>
  </si>
  <si>
    <t>1. Đăng nhập thành công
2. Có bài viết gốc bằng Tiếng Việt
3. Đổi ngôn ngữ ứng dụng sang English</t>
  </si>
  <si>
    <t>1. Mở bài viết gốc Tiếng Việt
2. Kiểm tra nội dung bài viết</t>
  </si>
  <si>
    <t>2.
- Nội dung bài viết vẫn hiển thị bằng Tiếng Việt (ngôn ngữ gốc)
- Hệ thống không tự động dịch nội dung bài viết sang English</t>
  </si>
  <si>
    <t>TC_048</t>
  </si>
  <si>
    <t>[Lỗi mạng] Mất kết nối khi mở Tin tức</t>
  </si>
  <si>
    <t>1. Đăng nhập thành công
2. Tắt mạng</t>
  </si>
  <si>
    <t>1. Nhấp vào "Tin tức" từ Sidebar</t>
  </si>
  <si>
    <t>1. "Không thể kết nối. Vui lòng kiểm tra mạng và thử lại." + nút "Thử lại"</t>
  </si>
  <si>
    <t>TC_049</t>
  </si>
  <si>
    <t>[Lỗi API 500] Lỗi server</t>
  </si>
  <si>
    <t>1. Đăng nhập thành công
2. API trả HTTP 500</t>
  </si>
  <si>
    <t>1. Mở [Danh sách Tin tức]</t>
  </si>
  <si>
    <t>1. "Hệ thống đang bận. Vui lòng thử lại sau."</t>
  </si>
  <si>
    <t>TC_050</t>
  </si>
  <si>
    <t>[Partial Failure] Kiểm tra hiển thị phần màn hình danh sách tin tức khi API Tin nổi bật OK + Tin mới nhất lỗi</t>
  </si>
  <si>
    <t>1. Đăng nhập thành công
2. API Tin nổi bật OK
3. API Tin mới nhất lỗi</t>
  </si>
  <si>
    <t>1. Mở [Danh sách Tin tức]
2. Kiểm tra hiển thị</t>
  </si>
  <si>
    <t>2.
- Tin nổi bật hiển thị bình thường
- Tin mới nhất hiển thị thông báo "Hệ thống đang bận. Vui lòng thử lại sau."</t>
  </si>
  <si>
    <t>TC_051</t>
  </si>
  <si>
    <t>[Partial Failure] Kiểm tra hiển thị màn hình danh sách tin tức khi API Tin nổi bật lỗi + Tin mới nhất OK</t>
  </si>
  <si>
    <t>1. Đăng nhập thành công
2. API Tin nổi bật lỗi
3. API Tin mới nhất OK</t>
  </si>
  <si>
    <t>2.
- Tin nổi bật hiển thị thông báo "Hệ thống đang bận. Vui lòng thử lại sau."
- Tin mới nhất hiển thị bình thường</t>
  </si>
  <si>
    <t>TC_052</t>
  </si>
  <si>
    <t>[Tích hợp] Đổi tab khi bộ lọc ngày đang active</t>
  </si>
  <si>
    <t>1. Đăng nhập thành công
2. Đã áp dụng bộ lọc ngày</t>
  </si>
  <si>
    <t>1. Nhấp tab "Dịch vụ công"
2. Kiểm tra danh sách</t>
  </si>
  <si>
    <t>2. Bài thuộc "Dịch vụ công" VÀ trong khoảng ngày đã lọc</t>
  </si>
  <si>
    <t>TC_053</t>
  </si>
  <si>
    <t>[Tích hợp] Tìm kiếm + đổi tab giữ keyword</t>
  </si>
  <si>
    <t>1. Đăng nhập thành công
2. Đã nhập keyword tìm kiếm</t>
  </si>
  <si>
    <t>1. Nhấp tab "Thể thao"
2. Kiểm tra thanh tìm kiếm và danh sách</t>
  </si>
  <si>
    <t>2. Keyword giữ nguyên, danh sách tải lại theo tab mới</t>
  </si>
  <si>
    <t>TC_054</t>
  </si>
  <si>
    <t>[Loading] Skeleton Loading khi đổi tab</t>
  </si>
  <si>
    <t>1. Nhấp vào tab khác
2. Kiểm tra hiển thị lúc tải</t>
  </si>
  <si>
    <t>2. Skeleton Loading cho cả 2 section</t>
  </si>
  <si>
    <t>Check common</t>
  </si>
  <si>
    <t>Kiểm tra các trường hợp phổ biến UI/UX</t>
  </si>
  <si>
    <t>TC_055</t>
  </si>
  <si>
    <t>Kiểm tra hiển thị dữ liệu tối đa (maxlength)</t>
  </si>
  <si>
    <t>1. Kiểm tra hiển thị dữ liệu tối đa</t>
  </si>
  <si>
    <t>1. Hiển thị đúng độ dài tối đa</t>
  </si>
  <si>
    <t>TC_056</t>
  </si>
  <si>
    <t>Kiểm tra khôi phục/phóng to/thu nhỏ ứng dụng</t>
  </si>
  <si>
    <t>1. Khôi phục, phóng to, thu nhỏ ứng dụng</t>
  </si>
  <si>
    <t>1. Không xảy ra lỗi bất thường</t>
  </si>
  <si>
    <t>TC_057</t>
  </si>
  <si>
    <t>Kiểm tra tính nhất quán của các thông báo</t>
  </si>
  <si>
    <t>1. Kiểm tra tính nhất quán thông báo</t>
  </si>
  <si>
    <t>1. Thông báo lỗi inline: dưới ô lỗi, màu đỏ
- Toast: giữa/dưới màn hình</t>
  </si>
  <si>
    <t>TC_058</t>
  </si>
  <si>
    <t>Kiểm tra hiển thị chế độ dọc</t>
  </si>
  <si>
    <t>1. Kiểm tra hiển thị chế độ dọc</t>
  </si>
  <si>
    <t>1. Giao diện không bị vỡ</t>
  </si>
  <si>
    <t>TC_059</t>
  </si>
  <si>
    <t>Kiểm tra hiển thị chế độ ngang</t>
  </si>
  <si>
    <t>1. Kiểm tra hiển thị chế độ ngang</t>
  </si>
  <si>
    <t>TC_060</t>
  </si>
  <si>
    <t>Kiểm tra chuyển đổi dọc/ngang</t>
  </si>
  <si>
    <t>1. Chuyển dọc sang ngang
2. Chuyển ngang sang dọc</t>
  </si>
  <si>
    <t>1 &amp; 2. Giao diện không bị vỡ</t>
  </si>
  <si>
    <t>TC_061</t>
  </si>
  <si>
    <t>Kiểm tra cỡ chữ lớn nhất</t>
  </si>
  <si>
    <t>1. Thiết bị dùng cỡ chữ lớn nhất</t>
  </si>
  <si>
    <t>TC_062</t>
  </si>
  <si>
    <t>Kiểm tra cỡ chữ nhỏ nhất</t>
  </si>
  <si>
    <t>1. Thiết bị dùng cỡ chữ nhỏ nhất</t>
  </si>
  <si>
    <t>Kiểm tra tương tác cơ bản với thiết bị</t>
  </si>
  <si>
    <t>TC_063</t>
  </si>
  <si>
    <t>Nút [Quay lại] Android</t>
  </si>
  <si>
    <t>1. Chạm nút Quay lại Android
2. Xác nhận hiển thị</t>
  </si>
  <si>
    <t>2. Quay lại màn hình trước</t>
  </si>
  <si>
    <t>TC_064</t>
  </si>
  <si>
    <t>Vuốt trái→phải iOS</t>
  </si>
  <si>
    <t>1. Vuốt trái sang phải iOS
2. Xác nhận hiển thị</t>
  </si>
  <si>
    <t>TC_065</t>
  </si>
  <si>
    <t>Tắt và mở lại ứng dụng</t>
  </si>
  <si>
    <t>1. Tắt ứng dụng
2. Mở lại
3. Xác nhận hiển thị</t>
  </si>
  <si>
    <t>3. Mở lại từ trạng thái ban đầu</t>
  </si>
  <si>
    <t>TC_066</t>
  </si>
  <si>
    <t>Đa nhiệm (multitasking)</t>
  </si>
  <si>
    <t>1. Về màn hình chính
2. Mở lại ứng dụng
3. Xác nhận</t>
  </si>
  <si>
    <t>3. Giữ nguyên trạng thái hiện tại</t>
  </si>
  <si>
    <t>TC_067</t>
  </si>
  <si>
    <t>Khóa và mở khóa màn hình</t>
  </si>
  <si>
    <t>1. Khóa thiết bị
2. Mở khóa
3. Xác nhận</t>
  </si>
  <si>
    <t>3. Giữ nguyên trạng thái</t>
  </si>
  <si>
    <t>TC_068</t>
  </si>
  <si>
    <t>Pull-to-refresh</t>
  </si>
  <si>
    <t>1. Kéo xuống để làm mới</t>
  </si>
  <si>
    <t>1. Hiển thị dữ liệu mới nhất</t>
  </si>
  <si>
    <t>TC_069</t>
  </si>
  <si>
    <t>Scroll-down-to-load-more</t>
  </si>
  <si>
    <t>1. Hiển thị thêm dữ liệu mới</t>
  </si>
  <si>
    <t>TC_070</t>
  </si>
  <si>
    <t>Nhận thông báo từ ứng dụng khác</t>
  </si>
  <si>
    <t>1. Ứng dụng khác gửi thông báo
2. Xác nhận</t>
  </si>
  <si>
    <t>2. Không có lỗi nào xảy ra</t>
  </si>
  <si>
    <t>2. Modal Bộ lọc tìm kiếm &amp; Tìm kiếm (UC66)</t>
  </si>
  <si>
    <t>TC_071</t>
  </si>
  <si>
    <t>Kiểm tra UI thanh tìm kiếm khi mở</t>
  </si>
  <si>
    <t>1. Nhấp icon kính lúp
2. Kiểm tra hiển thị</t>
  </si>
  <si>
    <t>2.
- Thanh textbox bên dưới Header
- Placeholder: "Tìm kiếm tin tức..."
- Không có icon X
- Keyboard mở sẵn</t>
  </si>
  <si>
    <t>TC_072</t>
  </si>
  <si>
    <t>Kiểm tra UI Modal "Bộ lọc tìm kiếm"</t>
  </si>
  <si>
    <t>1. Nhấp icon Filter
2. Kiểm tra hiển thị Modal</t>
  </si>
  <si>
    <t>2.
- Mở Modal popup "Bộ lọc tìm kiếm"
- Tiêu đề "Bộ lọc tìm kiếm" đậm, căn trái
- Nút X căn phải
- Nhãn "NGÀY ĐĂNG" in hoa, màu xám xanh, căn trái
- Input Date: placeholder "Ngày bắt đầu - Ngày kết thúc"
- Nút "Nhập lại" + Nút "Áp dụng" đỏ</t>
  </si>
  <si>
    <t>TC_073</t>
  </si>
  <si>
    <t>[Icon Tìm kiếm] Tap lần 1 mở thanh</t>
  </si>
  <si>
    <t>1. Đăng nhập thành công
2. Thanh tìm kiếm đang đóng</t>
  </si>
  <si>
    <t>1. Nhấp icon kính lúp</t>
  </si>
  <si>
    <t>1. Thanh textbox mở rộng bên dưới Header</t>
  </si>
  <si>
    <t>TC_074</t>
  </si>
  <si>
    <t>[Icon Tìm kiếm] Tap lần 2 đóng + xóa keyword</t>
  </si>
  <si>
    <t>1. Đăng nhập thành công
2. Thanh tìm kiếm đang mở, có keyword</t>
  </si>
  <si>
    <t>1. Nhấp icon kính lúp lần nữa
2. Kiểm tra</t>
  </si>
  <si>
    <t>2. Thanh đóng, keyword xóa, danh sách mặc định</t>
  </si>
  <si>
    <t>TC_075</t>
  </si>
  <si>
    <t>[Thanh tìm kiếm] Non-sticky khi cuộn</t>
  </si>
  <si>
    <t>1. Đăng nhập thành công
2. Thanh tìm kiếm đang mở</t>
  </si>
  <si>
    <t>1. Cuộn danh sách xuống</t>
  </si>
  <si>
    <t>1. Thanh tìm kiếm ẩn đi (không sticky)</t>
  </si>
  <si>
    <t>TC_076</t>
  </si>
  <si>
    <t>[Không có icon X] Thanh tìm kiếm không có nút clear</t>
  </si>
  <si>
    <t>1. Đăng nhập thành công
2. Mở thanh tìm kiếm, nhập keyword</t>
  </si>
  <si>
    <t>1. Kiểm tra hiển thị thanh tìm kiếm</t>
  </si>
  <si>
    <t>1. Không có icon X, phải xóa thủ công hoặc tap lại icon</t>
  </si>
  <si>
    <t>TC_077</t>
  </si>
  <si>
    <t>[Modal Filter] Đóng bằng nút X</t>
  </si>
  <si>
    <t>1. Đăng nhập thành công
2. Mở Modal Bộ lọc</t>
  </si>
  <si>
    <t>1. Nhấp nút X</t>
  </si>
  <si>
    <t>1. Modal đóng, bộ lọc không áp dụng</t>
  </si>
  <si>
    <t>TC_078</t>
  </si>
  <si>
    <t>[Modal Filter] Đóng bằng tap ngoài</t>
  </si>
  <si>
    <t>1. Nhấp vùng nền ngoài modal</t>
  </si>
  <si>
    <t>TC_079</t>
  </si>
  <si>
    <t>[Modal Filter] Nút "Nhập lại" reset date</t>
  </si>
  <si>
    <t>1. Đăng nhập thành công
2. Mở Modal, đã chọn ngày</t>
  </si>
  <si>
    <t>1. Nhấp "Nhập lại"
2. Kiểm tra</t>
  </si>
  <si>
    <t>2. Trường ngày reset về placeholder, modal vẫn mở</t>
  </si>
  <si>
    <t>TC_080</t>
  </si>
  <si>
    <t>[Tìm kiếm] Gần đúng theo tiêu đề áp dụng toàn bộ tab</t>
  </si>
  <si>
    <t>1. Đăng nhập thành công
2. Tab "Kinh tế" đang active
3. Mở thanh tìm kiếm</t>
  </si>
  <si>
    <t>1. Nhập "chính sách"
2. Chờ 3 giây
3. Kiểm tra kết quả</t>
  </si>
  <si>
    <t>3.
- Hệ thống tự chuyển về tab "Tất cả"
- Hiển thị tất cả bài có tiêu đề chứa "chính sách" từ mọi danh mục (không chỉ tab "Kinh tế")</t>
  </si>
  <si>
    <t>CMR-01</t>
  </si>
  <si>
    <t>TC_081</t>
  </si>
  <si>
    <t>[Tìm kiếm] Kết quả hiển thị trên tab "Tất cả" bất kể tab đang chọn</t>
  </si>
  <si>
    <t>1. Đăng nhập thành công
2. Tab "Giao thông" đang active
3. Mở thanh tìm kiếm</t>
  </si>
  <si>
    <t>1. Nhập từ khóa bất kỳ
2. Chờ 3 giây
3. Kiểm tra tab active</t>
  </si>
  <si>
    <t>3.
- Tab active tự chuyển về "Tất cả" (nền đỏ đậm, chữ trắng)
- Tab "Giao thông" trở về inactive
- Kết quả tìm kiếm hiển thị bài từ toàn bộ danh mục</t>
  </si>
  <si>
    <t>TC_082</t>
  </si>
  <si>
    <t>[Tìm kiếm] Debounce 3 giây</t>
  </si>
  <si>
    <t>1. Đăng nhập thành công
2. Mở thanh tìm kiếm</t>
  </si>
  <si>
    <t>1. Nhập "đầu tư"
2. Kiểm tra ngay (&lt;3s)
3. Chờ 3s
4. Kiểm tra</t>
  </si>
  <si>
    <t>2. Chưa có kết quả mới
4. Kết quả hiển thị sau 3s ngừng gõ</t>
  </si>
  <si>
    <t>TC_083</t>
  </si>
  <si>
    <t>[Tìm kiếm] Giới hạn 500 ký tự</t>
  </si>
  <si>
    <t>1. Nhập đến 500 ký tự
2. Thử nhập thêm</t>
  </si>
  <si>
    <t>2. Không cho nhập thêm, giữ 500 ký tự</t>
  </si>
  <si>
    <t>TC_084</t>
  </si>
  <si>
    <t>[Tìm kiếm] Nhập 1 ký tự bất kỳ</t>
  </si>
  <si>
    <t>1. Nhập "c"
2. Chờ 3 giây
3. Kiểm tra kết quả</t>
  </si>
  <si>
    <t>3.
- Hiển thị tất cả bài có tiêu đề chứa ký tự "c"
- Kết quả hiển thị trên tab "Tất cả"</t>
  </si>
  <si>
    <t>TC_085</t>
  </si>
  <si>
    <t>[Tìm kiếm] Nhập đúng 100% tiêu đề bài viết</t>
  </si>
  <si>
    <t>1. Đăng nhập thành công
2. Mở thanh tìm kiếm
3. Có bài viết với tiêu đề "Chính sách đầu tư công năm 2026"</t>
  </si>
  <si>
    <t>1. Nhập đúng toàn bộ tiêu đề "Chính sách đầu tư công năm 2026"
2. Chờ 3 giây
3. Kiểm tra kết quả</t>
  </si>
  <si>
    <t>3.
- Hiển thị bài viết có tiêu đề khớp chính xác
- Kết quả hiển thị trên tab "Tất cả"</t>
  </si>
  <si>
    <t>TC_086</t>
  </si>
  <si>
    <t>[Tìm kiếm] Xóa hết keyword trở về mặc định</t>
  </si>
  <si>
    <t>1. Đăng nhập thành công
2. Đã nhập keyword có kết quả</t>
  </si>
  <si>
    <t>1. Xóa hết keyword
2. Chờ 3s
3. Kiểm tra</t>
  </si>
  <si>
    <t>3. Danh sách trở về mặc định</t>
  </si>
  <si>
    <t>TC_087</t>
  </si>
  <si>
    <t>[Tìm kiếm] Auto-trim khoảng trắng đầu cuối từ khóa</t>
  </si>
  <si>
    <t>1. Nhập " abc " (có khoảng trắng đầu cuối)
2. Chờ 3 giây
3. Kiểm tra kết quả</t>
  </si>
  <si>
    <t>3. Hệ thống tìm kiếm với từ khóa "abc" (đã trim khoảng trắng đầu cuối)
- Kết quả hiển thị bài có tiêu đề chứa "abc"</t>
  </si>
  <si>
    <t>TC_088</t>
  </si>
  <si>
    <t>[Tìm kiếm] Nhập chỉ khoảng trắng/space coi như input rỗng</t>
  </si>
  <si>
    <t>1. Nhập "   " (chỉ toàn khoảng trắng/space)
2. Chờ 3 giây
3. Kiểm tra</t>
  </si>
  <si>
    <t>3.
- Không trigger API tìm kiếm
- Danh sách trở về trạng thái mặc định (hiển thị tất cả)</t>
  </si>
  <si>
    <t>TC_089</t>
  </si>
  <si>
    <t>[Tìm kiếm] Không có kết quả</t>
  </si>
  <si>
    <t>1. Nhập "xyzabc123"
2. Chờ 3s
3. Kiểm tra</t>
  </si>
  <si>
    <t>3. "Không tìm thấy kết quả." (CMR-14)</t>
  </si>
  <si>
    <t>TC_090</t>
  </si>
  <si>
    <t>[Bộ lọc] Chọn khoảng ngày + Áp dụng</t>
  </si>
  <si>
    <t>1. Chọn 01/05/2026 - 10/05/2026
2. Nhấp "Áp dụng"
3. Kiểm tra</t>
  </si>
  <si>
    <t>2. Modal đóng
3. Danh sách chỉ bài trong khoảng ngày</t>
  </si>
  <si>
    <t>TC_091</t>
  </si>
  <si>
    <t>[Bộ lọc] Chỉ chọn Ngày bắt đầu (CMR-15)</t>
  </si>
  <si>
    <t>1. Chọn Ngày bắt đầu: 01/05/2026
2. Nhấp "Áp dụng"
3. Kiểm tra</t>
  </si>
  <si>
    <t>2. Modal đóng
3. Bài từ 01/05/2026 đến hiện tại</t>
  </si>
  <si>
    <t>TC_092</t>
  </si>
  <si>
    <t>[Bộ lọc] Chỉ chọn Ngày kết thúc (CMR-15)</t>
  </si>
  <si>
    <t>1. Chọn Ngày kết thúc: 10/05/2026
2. Nhấp "Áp dụng"
3. Kiểm tra</t>
  </si>
  <si>
    <t>2. Modal đóng
3. Bài từ đầu đến 10/05/2026</t>
  </si>
  <si>
    <t>TC_093</t>
  </si>
  <si>
    <t>[Bộ lọc] Không chọn ngày + Áp dụng</t>
  </si>
  <si>
    <t>1. Đăng nhập thành công
2. Mở Modal, không chọn ngày</t>
  </si>
  <si>
    <t>1. Nhấp "Áp dụng"
2. Kiểm tra</t>
  </si>
  <si>
    <t>1. Modal đóng, không lỗi, không áp dụng lọc</t>
  </si>
  <si>
    <t>TC_094</t>
  </si>
  <si>
    <t>[Bộ lọc] Persist xuyên Tab</t>
  </si>
  <si>
    <t>1. Đăng nhập thành công
2. Đã áp dụng lọc ngày</t>
  </si>
  <si>
    <t>1. Nhấp tab "Kinh tế"
2. Kiểm tra
3. Nhấp tab "Văn hóa"
4. Kiểm tra</t>
  </si>
  <si>
    <t>2 &amp; 4. Bộ lọc ngày vẫn áp dụng ở mỗi tab</t>
  </si>
  <si>
    <t>TC_095</t>
  </si>
  <si>
    <t>[Android Back] Back vật lý khi modal mở</t>
  </si>
  <si>
    <t>1. Đăng nhập thành công
2. Mở Modal trên Android</t>
  </si>
  <si>
    <t>1. Nhấn Back vật lý</t>
  </si>
  <si>
    <t>1. Quay lại màn hình trước (không chỉ đóng modal)</t>
  </si>
  <si>
    <t>TC_096</t>
  </si>
  <si>
    <t>[Tích hợp] Tìm kiếm + lọc ngày</t>
  </si>
  <si>
    <t>1. Đăng nhập thành công
2. Tab "Tất cả"</t>
  </si>
  <si>
    <t>1. Nhập "đầu tư", chờ 3s
2. Mở Filter, chọn 01/05-10/05, Áp dụng
3. Kiểm tra</t>
  </si>
  <si>
    <t>3. Bài chứa "đầu tư" VÀ trong khoảng ngày</t>
  </si>
  <si>
    <t>TC_097</t>
  </si>
  <si>
    <t>[Tích hợp] Đổi tab giữ keyword</t>
  </si>
  <si>
    <t>1. Đăng nhập thành công
2. Đã nhập "kinh tế"
3. Tab "Tất cả"</t>
  </si>
  <si>
    <t>1. Nhấp tab "Dịch vụ công"
2. Kiểm tra thanh tìm kiếm
3. Kiểm tra danh sách</t>
  </si>
  <si>
    <t>2. Keyword giữ nguyên
3. Danh sách theo tab mới + keyword</t>
  </si>
  <si>
    <t>TC_098</t>
  </si>
  <si>
    <t>Kiểm tra hiển thị dữ liệu tối đa</t>
  </si>
  <si>
    <t>1. Kiểm tra maxlength</t>
  </si>
  <si>
    <t>TC_099</t>
  </si>
  <si>
    <t>Kiểm tra khôi phục/phóng to/thu nhỏ</t>
  </si>
  <si>
    <t>1. Khôi phục, phóng to, thu nhỏ</t>
  </si>
  <si>
    <t>1. Không lỗi bất thường</t>
  </si>
  <si>
    <t>TC_100</t>
  </si>
  <si>
    <t>Kiểm tra tính nhất quán thông báo</t>
  </si>
  <si>
    <t>1. Kiểm tra thông báo</t>
  </si>
  <si>
    <t>1. Thông báo nhất quán về style</t>
  </si>
  <si>
    <t>TC_101</t>
  </si>
  <si>
    <t>Kiểm tra chế độ dọc</t>
  </si>
  <si>
    <t>1. Thiết bị chế độ dọc</t>
  </si>
  <si>
    <t>1. Giao diện không vỡ</t>
  </si>
  <si>
    <t>TC_102</t>
  </si>
  <si>
    <t>Kiểm tra chế độ ngang</t>
  </si>
  <si>
    <t>1. Thiết bị chế độ ngang</t>
  </si>
  <si>
    <t>TC_103</t>
  </si>
  <si>
    <t>1. Chuyển dọc→ngang
2. Chuyển ngang→dọc</t>
  </si>
  <si>
    <t>1 &amp; 2. Giao diện không vỡ</t>
  </si>
  <si>
    <t>TC_104</t>
  </si>
  <si>
    <t>1. Cỡ chữ lớn nhất</t>
  </si>
  <si>
    <t>TC_105</t>
  </si>
  <si>
    <t>1. Cỡ chữ nhỏ nhất</t>
  </si>
  <si>
    <t>TC_106</t>
  </si>
  <si>
    <t>Nút Quay lại Android</t>
  </si>
  <si>
    <t>1. Chạm Back Android</t>
  </si>
  <si>
    <t>1. Quay lại màn trước</t>
  </si>
  <si>
    <t>TC_107</t>
  </si>
  <si>
    <t>1. Vuốt trái→phải iOS</t>
  </si>
  <si>
    <t>N/A nếu bottom sheet</t>
  </si>
  <si>
    <t>TC_108</t>
  </si>
  <si>
    <t>Tắt mở lại ứng dụng</t>
  </si>
  <si>
    <t>1. Tắt app
2. Mở lại
3. Xác nhận</t>
  </si>
  <si>
    <t>TC_109</t>
  </si>
  <si>
    <t>Đa nhiệm</t>
  </si>
  <si>
    <t>1. Về home
2. Mở lại
3. Xác nhận</t>
  </si>
  <si>
    <t>TC_110</t>
  </si>
  <si>
    <t>Khóa/mở khóa màn hình</t>
  </si>
  <si>
    <t>1. Khóa
2. Mở khóa
3. Xác nhận</t>
  </si>
  <si>
    <t>TC_111</t>
  </si>
  <si>
    <t>1. Kéo xuống</t>
  </si>
  <si>
    <t>N/A — Modal không hỗ trợ</t>
  </si>
  <si>
    <t>TC_112</t>
  </si>
  <si>
    <t>Scroll-to-load-more</t>
  </si>
  <si>
    <t>TC_113</t>
  </si>
  <si>
    <t>Nhận thông báo từ app khác</t>
  </si>
  <si>
    <t>1. App khác gửi thông báo
2. Xác nhận</t>
  </si>
  <si>
    <t>2. Không lỗi</t>
  </si>
  <si>
    <t>3. Màn hình Chi tiết bài viết (UC57)</t>
  </si>
  <si>
    <t>TC_114</t>
  </si>
  <si>
    <t>Kiểm tra UI/UX màn hình Chi tiết bài viết</t>
  </si>
  <si>
    <t>1. Đăng nhập thành công
2. Mở màn hình [Danh sách Tin tức]
3. Có bài viết trong danh sách</t>
  </si>
  <si>
    <t>1. Nhấp vào card bài viết bất kỳ
2. Kiểm tra hiển thị màn hình [Chi tiết bài viết]</t>
  </si>
  <si>
    <t>2. Hiển thị đầy đủ các item, màu sắc, font chữ, layout giống Design
(Tham khảo ảnh Màn hình Chi tiết bài viết sheet WFDesign)</t>
  </si>
  <si>
    <t>TC_115</t>
  </si>
  <si>
    <t>Kiểm tra hiển thị đầy đủ thành phần Chi tiết</t>
  </si>
  <si>
    <t>1. Đăng nhập thành công
2. Mở màn hình [Chi tiết bài viết]</t>
  </si>
  <si>
    <t>1. Kiểm tra hiển thị các thành phần trên màn hình</t>
  </si>
  <si>
    <t>1.
- Header đỏ đậm với nút Quay lại (←)
- Ảnh cover full width
- Tag phân loại (nền nhạt, chữ đỏ)
- Tiêu đề font to, in đậm, màu đen
- Thông tin Meta: icon đồng hồ + ngày DD/MM/YYYY + icon user + tên tác giả (màu xám)
- Nội dung Rich Text
- Section "Tin tức mới nhất" ở cuối</t>
  </si>
  <si>
    <t>TC_116</t>
  </si>
  <si>
    <t>Kiểm tra Skeleton Loading khi tải Chi tiết</t>
  </si>
  <si>
    <t>1. Nhấp vào card bài viết
2. Kiểm tra hiển thị trong lúc tải</t>
  </si>
  <si>
    <t>2. Hiển thị Skeleton Loading đúng layout trong lúc chờ API phản hồi</t>
  </si>
  <si>
    <t>TC_117</t>
  </si>
  <si>
    <t>[Nút Quay lại] Kiểm tra nhấn Quay lại từ Chi tiết</t>
  </si>
  <si>
    <t>1. Đăng nhập thành công
2. Mở màn hình [Chi tiết bài viết] từ danh sách</t>
  </si>
  <si>
    <t>1. Nhấp vào nút Quay lại (←) trên Header</t>
  </si>
  <si>
    <t>1. Quay về màn hình [Danh sách Tin tức] trước đó</t>
  </si>
  <si>
    <t>TC_118</t>
  </si>
  <si>
    <t>Kiểm tra ảnh cover null hiển thị placeholder</t>
  </si>
  <si>
    <t>1. Đăng nhập thành công
2. Có bài viết không có ảnh cover (null)</t>
  </si>
  <si>
    <t>1. Mở Chi tiết bài viết đó
2. Kiểm tra hiển thị vùng ảnh cover</t>
  </si>
  <si>
    <t>2.
- Hiển thị placeholder icon (nền xám, icon ảnh broken)
- Không ẩn block
- Vùng ảnh vẫn chiếm không gian</t>
  </si>
  <si>
    <t>TC_119</t>
  </si>
  <si>
    <t>[Tag phân loại] Kiểm tra hiển thị đúng danh mục bài viết</t>
  </si>
  <si>
    <t>1. Đăng nhập thành công
2. Có bài viết thuộc danh mục "Kinh tế"</t>
  </si>
  <si>
    <t>1. Mở Chi tiết bài viết đó
2. Kiểm tra hiển thị Tag phân loại</t>
  </si>
  <si>
    <t>2.
- Tag nằm ngay dưới ảnh bìa
- Hiển thị đúng tên danh mục (VD: "Kinh tế")
- Nền nhạt, chữ đỏ
- Dạng Chip</t>
  </si>
  <si>
    <t>TC_120</t>
  </si>
  <si>
    <t>Kiểm tra tên người đăng dài truncate trên Chi tiết</t>
  </si>
  <si>
    <t>1. Đăng nhập thành công
2. Có bài viết có tên tác giả dài</t>
  </si>
  <si>
    <t>1. Mở Chi tiết bài viết đó
2. Kiểm tra hiển thị tên tác giả</t>
  </si>
  <si>
    <t>2.
- Tên hiển thị đến max-width
- Vượt quá thì truncate với "..."</t>
  </si>
  <si>
    <t>TC_121</t>
  </si>
  <si>
    <t>[Rich Text] Kiểm tra render nội dung HTML đúng</t>
  </si>
  <si>
    <t>1. Đăng nhập thành công
2. Có bài viết có nội dung Rich Text (đậm, nghiêng, link, ảnh)</t>
  </si>
  <si>
    <t>1. Mở Chi tiết bài viết
2. Kiểm tra hiển thị nội dung</t>
  </si>
  <si>
    <t>2.
- Chữ in đậm hiển thị đúng
- Chữ in nghiêng hiển thị đúng
- Liên kết có thể nhấp
- Ảnh chèn inline hiển thị đúng</t>
  </si>
  <si>
    <t>TC_122</t>
  </si>
  <si>
    <t>[Ảnh inline lỗi] Kiểm tra ảnh inline không tải được</t>
  </si>
  <si>
    <t>1. Đăng nhập thành công
2. Có bài viết có ảnh inline bị lỗi/không tải được</t>
  </si>
  <si>
    <t>1. Mở Chi tiết bài viết
2. Kiểm tra hiển thị vùng ảnh inline</t>
  </si>
  <si>
    <t>2.
- Hiển thị placeholder icon (nền xám, icon ảnh broken)
- Không ẩn vùng ảnh
- Tap vào ảnh: không zoom (ngoài phạm vi UC)</t>
  </si>
  <si>
    <t>TC_123</t>
  </si>
  <si>
    <t>[Tin tức mới nhất] Kiểm tra section cuối bài</t>
  </si>
  <si>
    <t>1. Đăng nhập thành công
2. Mở màn hình [Chi tiết bài viết]
3. Có bài viết khác trong hệ thống</t>
  </si>
  <si>
    <t>1. Cuộn xuống cuối bài viết
2. Kiểm tra hiển thị section "Tin tức mới nhất"</t>
  </si>
  <si>
    <t>2.
- Label "Tin tức mới nhất" font đậm
- Hiển thị tối đa 5 bài tin mới nhất
- Loại trừ bài viết đang xem
- Mỗi card: Thumbnail trái, Tag + Tiêu đề + Trích dẫn + Ngày + Tác giả bên phải</t>
  </si>
  <si>
    <t>TC_124</t>
  </si>
  <si>
    <t>[Tin tức mới nhất] Kiểm tra ẩn khi không có tin</t>
  </si>
  <si>
    <t>1. Đăng nhập thành công
2. Mở Chi tiết bài viết
3. Không có bài viết khác</t>
  </si>
  <si>
    <t>1. Cuộn xuống cuối bài
2. Kiểm tra hiển thị</t>
  </si>
  <si>
    <t>2. Section "Tin tức mới nhất" ẩn hoàn toàn</t>
  </si>
  <si>
    <t>TC_125</t>
  </si>
  <si>
    <t>[Tin liên quan] Kiểm tra tap card Tin tức mới nhất cuối bài</t>
  </si>
  <si>
    <t>1. Đăng nhập thành công
2. Mở màn hình [Chi tiết bài viết]
3. Section "Tin tức mới nhất" có bài</t>
  </si>
  <si>
    <t>1. Cuộn xuống cuối bài
2. Nhấp vào card bài viết trong section "Tin tức mới nhất"</t>
  </si>
  <si>
    <t>2. Mở màn hình [Chi tiết bài viết] mới (bài viết được chọn)</t>
  </si>
  <si>
    <t>TC_126</t>
  </si>
  <si>
    <t>[Tin tức mới nhất] Kiểm tra toàn bộ diện tích card có thể tap</t>
  </si>
  <si>
    <t>1. Cuộn xuống cuối bài
2. Nhấp vào vùng thumbnail của card
3. Quay lại, nhấp vào vùng tiêu đề
4. Quay lại, nhấp vào vùng trích dẫn</t>
  </si>
  <si>
    <t>2, 3, 4. Đều mở màn hình [Chi tiết bài viết] mới
- Toàn bộ diện tích thẻ là vùng có thể tap</t>
  </si>
  <si>
    <t>TC_127</t>
  </si>
  <si>
    <t>[Tin tức mới nhất] Kiểm tra sắp xếp theo ngày mới nhất</t>
  </si>
  <si>
    <t>1. Đăng nhập thành công
2. Mở màn hình [Chi tiết bài viết]
3. Có nhiều bài viết khác trong hệ thống</t>
  </si>
  <si>
    <t>1. Cuộn xuống section "Tin tức mới nhất"
2. Kiểm tra thứ tự danh sách</t>
  </si>
  <si>
    <t>2. Bài mới nhất hiển thị đầu tiên, sắp xếp theo ngày giảm dần</t>
  </si>
  <si>
    <t>TC_128</t>
  </si>
  <si>
    <t>[Tin tức mới nhất] Kiểm tra hiển thị bài viết từ mọi danh mục, không giới hạn theo Tab đang chọn</t>
  </si>
  <si>
    <t>1. Đăng nhập thành công
2. Từ tab "Kinh tế" nhấp vào bài viết để mở Chi tiết</t>
  </si>
  <si>
    <t>1. Cuộn xuống section "Tin tức mới nhất"
2. Kiểm tra danh sách bài viết hiển thị</t>
  </si>
  <si>
    <t>2.
- Danh sách hiển thị bài viết từ tất cả danh mục (Kinh tế, Văn hóa, Giao thông...)
- Không chỉ giới hạn bài thuộc danh mục "Kinh tế" của tab đang chọn trước đó</t>
  </si>
  <si>
    <t>TC_129</t>
  </si>
  <si>
    <t>[Navigation Stack] Kiểm tra Back sau khi mở tin liên quan</t>
  </si>
  <si>
    <t>1. Đăng nhập thành công
2. Mở Chi tiết bài A
3. Tap tin liên quan → mở Chi tiết bài B</t>
  </si>
  <si>
    <t>1. Nhấp nút Quay lại (←)</t>
  </si>
  <si>
    <t>1. Quay về màn hình Chi tiết bài A (trước đó)</t>
  </si>
  <si>
    <t>TC_130</t>
  </si>
  <si>
    <t>[Tin liên quan] Kiểm tra loại trừ bài đang xem</t>
  </si>
  <si>
    <t>1. Đăng nhập thành công
2. Mở Chi tiết bài viết X</t>
  </si>
  <si>
    <t>1. Cuộn xuống section "Tin tức mới nhất"
2. Kiểm tra danh sách</t>
  </si>
  <si>
    <t>2. Bài viết X KHÔNG xuất hiện trong danh sách "Tin tức mới nhất"</t>
  </si>
  <si>
    <t>TC_131</t>
  </si>
  <si>
    <t>[Tin liên quan] Kiểm tra lọc theo ngôn ngữ</t>
  </si>
  <si>
    <t>1. Đăng nhập thành công
2. Ứng dụng đang hiển thị ngôn ngữ Tiếng Việt
3. Mở Chi tiết bài viết</t>
  </si>
  <si>
    <t>2. Chỉ hiển thị bài viết có sẵn bằng Tiếng Việt
- Không scope theo danh mục Tab</t>
  </si>
  <si>
    <t>TC_132</t>
  </si>
  <si>
    <t>[Lỗi 404] Kiểm tra mở bài viết đã bị xóa từ CMS</t>
  </si>
  <si>
    <t>1. Đăng nhập thành công
2. Bài viết đã bị xóa từ CMS (API trả 404)</t>
  </si>
  <si>
    <t>1. Nhấp vào card bài viết (từ cache/deep link)</t>
  </si>
  <si>
    <t>1.
- Hiển thị thông báo "Nội dung không tồn tại hoặc đã bị xóa."
- Quay lại màn hình danh sách trước đó</t>
  </si>
  <si>
    <t>TC_133</t>
  </si>
  <si>
    <t>[Lỗi mạng] Kiểm tra mất mạng khi mở Chi tiết</t>
  </si>
  <si>
    <t>1. Đăng nhập thành công
2. Tắt mạng thiết bị</t>
  </si>
  <si>
    <t>1. Nhấp vào card bài viết</t>
  </si>
  <si>
    <t>1. Hiển thị thông báo "Không thể kết nối. Vui lòng kiểm tra mạng và thử lại." + nút "Thử lại"</t>
  </si>
  <si>
    <t>TC_134</t>
  </si>
  <si>
    <t>[Tích hợp] Kiểm tra đổi ngôn ngữ ảnh hưởng section Tin tức mới nhất cuối bài</t>
  </si>
  <si>
    <t>1. Đăng nhập thành công
2. Mở Chi tiết bài viết</t>
  </si>
  <si>
    <t>1. Đổi ngôn ngữ ứng dụng sang English
2. Quay lại Chi tiết bài viết
3. Kiểm tra section "Tin tức mới nhất"</t>
  </si>
  <si>
    <t>3. Section chỉ hiển thị bài viết có sẵn bằng English</t>
  </si>
  <si>
    <t>TC_135</t>
  </si>
  <si>
    <t>TC_136</t>
  </si>
  <si>
    <t>TC_137</t>
  </si>
  <si>
    <t>TC_138</t>
  </si>
  <si>
    <t>TC_139</t>
  </si>
  <si>
    <t>TC_140</t>
  </si>
  <si>
    <t>TC_141</t>
  </si>
  <si>
    <t>TC_142</t>
  </si>
  <si>
    <t>TC_143</t>
  </si>
  <si>
    <t>TC_144</t>
  </si>
  <si>
    <t>TC_145</t>
  </si>
  <si>
    <t>TC_146</t>
  </si>
  <si>
    <t>TC_147</t>
  </si>
  <si>
    <t>TC_148</t>
  </si>
  <si>
    <t>N/A — Màn hình Chi tiết không hỗ trợ</t>
  </si>
  <si>
    <t>TC_149</t>
  </si>
  <si>
    <t>TC_150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</si>
  <si>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</si>
  <si>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</si>
  <si>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</si>
  <si>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</si>
  <si>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</si>
  <si>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</si>
  <si>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</si>
  <si>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</si>
  <si>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</si>
  <si>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</si>
  <si>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</si>
  <si>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</si>
  <si>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</si>
  <si>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</si>
  <si>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</si>
  <si>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</si>
  <si>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</si>
  <si>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</si>
  <si>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</si>
  <si>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</si>
  <si>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</si>
  <si>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</si>
  <si>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</si>
  <si>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</si>
  <si>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</si>
  <si>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</si>
  <si>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</si>
  <si>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</si>
  <si>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</si>
  <si>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</si>
  <si>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</si>
  <si>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</si>
  <si>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</si>
  <si>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</si>
  <si>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</si>
  <si>
    <t>1."Màn hình Danh sách Tin tức"</t>
  </si>
  <si>
    <t>2. Màn hình "Chi tiết bài viết"</t>
  </si>
  <si>
    <t xml:space="preserve">3. Lỗi ảnh </t>
  </si>
  <si>
    <t xml:space="preserve">4. Chi tiết liên quan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</si>
</sst>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"/>
    <numFmt numFmtId="165" formatCode="[$-409]d\-mmm\-yy"/>
  </numFmts>
  <fonts count="27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18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20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0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26"/>
      <color rgb="FF000000"/>
      <name val="Times New Roman"/>
      <charset val="134"/>
    </font>
    <font>
      <sz val="11"/>
      <color rgb="FF000000"/>
      <name val="Arial"/>
      <charset val="134"/>
    </font>
    <font>
      <b/>
      <sz val="14"/>
      <color rgb="FF000000"/>
      <name val="Times New Roman"/>
      <charset val="134"/>
    </font>
    <font>
      <b/>
      <sz val="14"/>
      <color rgb="FFFFFFFF"/>
      <name val="Times New Roman"/>
      <charset val="134"/>
    </font>
    <font>
      <sz val="14"/>
      <color rgb="FF000000"/>
      <name val="Times New Roman"/>
      <charset val="134"/>
    </font>
    <font>
      <b/>
      <sz val="26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36"/>
      <color theme="1"/>
      <name val="Times New Roman"/>
      <charset val="134"/>
    </font>
    <font>
      <b/>
      <sz val="21"/>
      <color theme="1"/>
      <name val="Times New Roman"/>
      <charset val="134"/>
    </font>
    <font>
      <sz val="9"/>
      <color theme="1"/>
      <name val="Times New Roman"/>
      <charset val="134"/>
    </font>
    <font>
      <b/>
      <i/>
      <sz val="9"/>
      <color theme="1"/>
      <name val="Times New Roman"/>
      <charset val="134"/>
    </font>
    <font>
      <u/>
      <sz val="11"/>
      <color rgb="FF0000FF"/>
      <name val="Times New Roman"/>
      <charset val="134"/>
    </font>
    <font>
      <b/>
      <sz val="11"/>
      <name val="Times New Roman"/>
    </font>
    <font>
      <sz val="11"/>
      <name val="Times New Roman"/>
    </font>
    <font>
      <b/>
      <i/>
      <sz val="1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A4C2F4"/>
        <bgColor rgb="FFA4C2F4"/>
      </patternFill>
    </fill>
    <fill>
      <patternFill patternType="solid">
        <fgColor rgb="FFE3FAFD"/>
        <bgColor rgb="FFE3FAFD"/>
      </patternFill>
    </fill>
  </fills>
  <borders count="36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12" xfId="0" applyFont="1" applyBorder="1" applyAlignment="1">
      <alignment horizontal="left" wrapText="1"/>
    </xf>
    <xf numFmtId="0" fontId="8" fillId="3" borderId="12" xfId="0" applyFont="1" applyFill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7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15" fillId="9" borderId="9" xfId="0" applyNumberFormat="1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14" fontId="16" fillId="4" borderId="12" xfId="0" applyNumberFormat="1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vertical="center" wrapText="1"/>
    </xf>
    <xf numFmtId="0" fontId="16" fillId="4" borderId="12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8" fillId="5" borderId="24" xfId="0" applyFont="1" applyFill="1" applyBorder="1" applyAlignment="1">
      <alignment horizontal="center" wrapText="1"/>
    </xf>
    <xf numFmtId="0" fontId="1" fillId="0" borderId="24" xfId="0" applyFont="1" applyBorder="1" applyAlignment="1">
      <alignment horizontal="center"/>
    </xf>
    <xf numFmtId="10" fontId="1" fillId="0" borderId="24" xfId="0" applyNumberFormat="1" applyFont="1" applyBorder="1" applyAlignment="1">
      <alignment horizontal="center"/>
    </xf>
    <xf numFmtId="10" fontId="1" fillId="5" borderId="24" xfId="0" applyNumberFormat="1" applyFont="1" applyFill="1" applyBorder="1" applyAlignment="1">
      <alignment horizontal="center"/>
    </xf>
    <xf numFmtId="0" fontId="1" fillId="4" borderId="0" xfId="0" applyFont="1" applyFill="1"/>
    <xf numFmtId="0" fontId="1" fillId="0" borderId="0" xfId="0" applyFont="1" applyAlignment="1">
      <alignment vertical="top"/>
    </xf>
    <xf numFmtId="0" fontId="11" fillId="4" borderId="0" xfId="0" applyFont="1" applyFill="1"/>
    <xf numFmtId="0" fontId="11" fillId="4" borderId="16" xfId="0" applyFont="1" applyFill="1" applyBorder="1"/>
    <xf numFmtId="0" fontId="11" fillId="5" borderId="0" xfId="0" applyFont="1" applyFill="1"/>
    <xf numFmtId="0" fontId="11" fillId="0" borderId="16" xfId="0" applyFont="1" applyBorder="1"/>
    <xf numFmtId="164" fontId="5" fillId="4" borderId="12" xfId="0" applyNumberFormat="1" applyFont="1" applyFill="1" applyBorder="1" applyAlignment="1">
      <alignment horizontal="left"/>
    </xf>
    <xf numFmtId="164" fontId="5" fillId="3" borderId="12" xfId="0" applyNumberFormat="1" applyFont="1" applyFill="1" applyBorder="1" applyAlignment="1">
      <alignment horizontal="left"/>
    </xf>
    <xf numFmtId="0" fontId="1" fillId="0" borderId="30" xfId="0" applyFont="1" applyBorder="1" applyAlignment="1">
      <alignment horizontal="center" vertical="top"/>
    </xf>
    <xf numFmtId="0" fontId="1" fillId="0" borderId="30" xfId="0" applyFont="1" applyBorder="1" applyAlignment="1">
      <alignment vertical="top" wrapText="1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3" fontId="1" fillId="0" borderId="30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/>
    <xf numFmtId="0" fontId="21" fillId="5" borderId="0" xfId="0" applyFont="1" applyFill="1" applyAlignment="1">
      <alignment wrapText="1"/>
    </xf>
    <xf numFmtId="0" fontId="22" fillId="4" borderId="0" xfId="0" applyFont="1" applyFill="1" applyAlignment="1">
      <alignment horizontal="left" wrapText="1"/>
    </xf>
    <xf numFmtId="0" fontId="22" fillId="4" borderId="0" xfId="0" applyFont="1" applyFill="1" applyAlignment="1">
      <alignment wrapText="1"/>
    </xf>
    <xf numFmtId="0" fontId="10" fillId="7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8" xfId="0" applyFont="1" applyFill="1" applyBorder="1" applyAlignment="1">
      <alignment horizontal="left"/>
    </xf>
    <xf numFmtId="0" fontId="5" fillId="4" borderId="12" xfId="0" applyFont="1" applyFill="1" applyBorder="1" applyAlignment="1">
      <alignment horizontal="left"/>
    </xf>
    <xf numFmtId="0" fontId="25" fillId="0" borderId="33" xfId="0" applyFont="1" applyBorder="1" applyAlignment="1">
      <alignment horizontal="center" vertical="center" wrapText="1"/>
    </xf>
    <xf numFmtId="0" fontId="25" fillId="0" borderId="33" xfId="0" applyFont="1" applyBorder="1" applyAlignment="1">
      <alignment vertical="top" wrapText="1"/>
    </xf>
    <xf numFmtId="0" fontId="0" fillId="0" borderId="33" xfId="0" applyBorder="1"/>
    <xf numFmtId="165" fontId="22" fillId="4" borderId="0" xfId="0" applyNumberFormat="1" applyFont="1" applyFill="1" applyAlignment="1">
      <alignment horizontal="left" wrapText="1"/>
    </xf>
    <xf numFmtId="0" fontId="0" fillId="0" borderId="0" xfId="0"/>
    <xf numFmtId="0" fontId="21" fillId="5" borderId="0" xfId="0" applyFont="1" applyFill="1" applyAlignment="1">
      <alignment wrapText="1"/>
    </xf>
    <xf numFmtId="0" fontId="22" fillId="4" borderId="0" xfId="0" applyFont="1" applyFill="1" applyAlignment="1">
      <alignment horizontal="left" wrapText="1"/>
    </xf>
    <xf numFmtId="0" fontId="20" fillId="5" borderId="0" xfId="0" applyFont="1" applyFill="1" applyAlignment="1">
      <alignment horizontal="center" wrapText="1"/>
    </xf>
    <xf numFmtId="0" fontId="22" fillId="4" borderId="0" xfId="0" applyFont="1" applyFill="1" applyAlignment="1">
      <alignment wrapText="1"/>
    </xf>
    <xf numFmtId="0" fontId="23" fillId="4" borderId="0" xfId="0" applyFont="1" applyFill="1"/>
    <xf numFmtId="0" fontId="19" fillId="5" borderId="0" xfId="0" applyFont="1" applyFill="1" applyAlignment="1">
      <alignment horizontal="center" wrapText="1"/>
    </xf>
    <xf numFmtId="165" fontId="11" fillId="4" borderId="0" xfId="0" applyNumberFormat="1" applyFont="1" applyFill="1"/>
    <xf numFmtId="0" fontId="18" fillId="5" borderId="24" xfId="0" applyFont="1" applyFill="1" applyBorder="1" applyAlignment="1">
      <alignment horizontal="center" vertical="top" wrapText="1"/>
    </xf>
    <xf numFmtId="0" fontId="0" fillId="0" borderId="32" xfId="0" applyBorder="1"/>
    <xf numFmtId="0" fontId="18" fillId="2" borderId="24" xfId="0" applyFont="1" applyFill="1" applyBorder="1" applyAlignment="1">
      <alignment horizontal="center" vertical="top" wrapText="1"/>
    </xf>
    <xf numFmtId="0" fontId="0" fillId="0" borderId="31" xfId="0" applyBorder="1"/>
    <xf numFmtId="0" fontId="18" fillId="5" borderId="24" xfId="0" applyFont="1" applyFill="1" applyBorder="1" applyAlignment="1">
      <alignment horizontal="center" vertical="top"/>
    </xf>
    <xf numFmtId="0" fontId="0" fillId="0" borderId="22" xfId="0" applyBorder="1"/>
    <xf numFmtId="0" fontId="0" fillId="0" borderId="23" xfId="0" applyBorder="1"/>
    <xf numFmtId="0" fontId="17" fillId="0" borderId="24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8" fillId="5" borderId="24" xfId="0" applyFont="1" applyFill="1" applyBorder="1" applyAlignment="1">
      <alignment vertical="top"/>
    </xf>
    <xf numFmtId="0" fontId="18" fillId="5" borderId="24" xfId="0" applyFont="1" applyFill="1" applyBorder="1" applyAlignment="1">
      <alignment vertical="top" wrapText="1"/>
    </xf>
    <xf numFmtId="0" fontId="18" fillId="2" borderId="24" xfId="0" applyFont="1" applyFill="1" applyBorder="1" applyAlignment="1">
      <alignment horizontal="center" vertical="top"/>
    </xf>
    <xf numFmtId="14" fontId="12" fillId="0" borderId="0" xfId="0" applyNumberFormat="1" applyFont="1" applyAlignment="1">
      <alignment horizontal="center" vertical="center"/>
    </xf>
    <xf numFmtId="14" fontId="14" fillId="8" borderId="4" xfId="0" applyNumberFormat="1" applyFont="1" applyFill="1" applyBorder="1" applyAlignment="1">
      <alignment horizontal="center" vertical="center"/>
    </xf>
    <xf numFmtId="0" fontId="0" fillId="0" borderId="5" xfId="0" applyBorder="1"/>
    <xf numFmtId="14" fontId="13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0" fillId="0" borderId="18" xfId="0" applyBorder="1"/>
    <xf numFmtId="0" fontId="26" fillId="11" borderId="33" xfId="0" applyFont="1" applyFill="1" applyBorder="1" applyAlignment="1">
      <alignment vertical="top" wrapText="1"/>
    </xf>
    <xf numFmtId="0" fontId="0" fillId="0" borderId="34" xfId="0" applyBorder="1"/>
    <xf numFmtId="0" fontId="0" fillId="0" borderId="35" xfId="0" applyBorder="1"/>
    <xf numFmtId="0" fontId="24" fillId="3" borderId="33" xfId="0" applyFont="1" applyFill="1" applyBorder="1" applyAlignment="1">
      <alignment vertical="top" wrapText="1"/>
    </xf>
    <xf numFmtId="49" fontId="11" fillId="5" borderId="12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4" xfId="0" applyBorder="1"/>
    <xf numFmtId="0" fontId="10" fillId="7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14" fontId="7" fillId="0" borderId="12" xfId="0" applyNumberFormat="1" applyFont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4" fillId="10" borderId="33" xfId="0" applyFont="1" applyFill="1" applyBorder="1" applyAlignment="1">
      <alignment vertical="top" wrapText="1"/>
    </xf>
    <xf numFmtId="49" fontId="11" fillId="6" borderId="12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5" fillId="4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8" xfId="0" applyFont="1" applyFill="1" applyBorder="1" applyAlignment="1">
      <alignment horizontal="left"/>
    </xf>
    <xf numFmtId="0" fontId="5" fillId="4" borderId="12" xfId="0" applyFont="1" applyFill="1" applyBorder="1" applyAlignment="1">
      <alignment horizontal="left"/>
    </xf>
    <xf numFmtId="164" fontId="5" fillId="0" borderId="15" xfId="0" applyNumberFormat="1" applyFont="1" applyBorder="1" applyAlignment="1">
      <alignment horizontal="center"/>
    </xf>
    <xf numFmtId="0" fontId="0" fillId="0" borderId="15" xfId="0" applyBorder="1"/>
    <xf numFmtId="0" fontId="7" fillId="2" borderId="4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left" wrapText="1"/>
    </xf>
    <xf numFmtId="0" fontId="7" fillId="3" borderId="9" xfId="0" applyFont="1" applyFill="1" applyBorder="1" applyAlignment="1">
      <alignment horizontal="center"/>
    </xf>
    <xf numFmtId="0" fontId="0" fillId="0" borderId="10" xfId="0" applyBorder="1"/>
    <xf numFmtId="0" fontId="7" fillId="2" borderId="8" xfId="0" applyFont="1" applyFill="1" applyBorder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66675</xdr:rowOff>
    </xdr:from>
    <xdr:to>
      <xdr:col>2</xdr:col>
      <xdr:colOff>266438</xdr:colOff>
      <xdr:row>22</xdr:row>
      <xdr:rowOff>66175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466725"/>
          <a:ext cx="2095238" cy="4000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638175</xdr:colOff>
      <xdr:row>2</xdr:row>
      <xdr:rowOff>95250</xdr:rowOff>
    </xdr:from>
    <xdr:to>
      <xdr:col>3</xdr:col>
      <xdr:colOff>2095152</xdr:colOff>
      <xdr:row>9</xdr:row>
      <xdr:rowOff>37932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700" y="495300"/>
          <a:ext cx="2780952" cy="13428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28575</xdr:colOff>
      <xdr:row>2</xdr:row>
      <xdr:rowOff>57150</xdr:rowOff>
    </xdr:from>
    <xdr:to>
      <xdr:col>4</xdr:col>
      <xdr:colOff>2000004</xdr:colOff>
      <xdr:row>29</xdr:row>
      <xdr:rowOff>46951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2625" y="457200"/>
          <a:ext cx="1971429" cy="53904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1800000</xdr:colOff>
      <xdr:row>19</xdr:row>
      <xdr:rowOff>123384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6375" y="400050"/>
          <a:ext cx="1800000" cy="35238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3143250</xdr:colOff>
      <xdr:row>2</xdr:row>
      <xdr:rowOff>180975</xdr:rowOff>
    </xdr:from>
    <xdr:to>
      <xdr:col>16</xdr:col>
      <xdr:colOff>675102</xdr:colOff>
      <xdr:row>18</xdr:row>
      <xdr:rowOff>56765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581025"/>
          <a:ext cx="9380952" cy="30761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&#234;n%20t&#237;nh%20n&#259;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ên tính nă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chung.vu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148"/>
  <sheetViews>
    <sheetView topLeftCell="A7" workbookViewId="0">
      <selection activeCell="E25" sqref="E25"/>
    </sheetView>
  </sheetViews>
  <sheetFormatPr defaultColWidth="12.5703125" defaultRowHeight="15" customHeight="1"/>
  <cols>
    <col min="1" max="1" width="4.5703125" style="83" customWidth="1"/>
    <col min="2" max="14" width="8.85546875" style="83" customWidth="1"/>
  </cols>
  <sheetData>
    <row r="1" spans="1:19" ht="14.1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1"/>
      <c r="Q1" s="71"/>
      <c r="R1" s="71"/>
      <c r="S1" s="71"/>
    </row>
    <row r="2" spans="1:19" ht="14.1" customHeight="1">
      <c r="A2" s="70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1"/>
      <c r="P2" s="71"/>
      <c r="Q2" s="71"/>
      <c r="R2" s="71"/>
      <c r="S2" s="71"/>
    </row>
    <row r="3" spans="1:19" ht="14.1" customHeight="1">
      <c r="A3" s="70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1"/>
      <c r="P3" s="71"/>
      <c r="Q3" s="71"/>
      <c r="R3" s="71"/>
      <c r="S3" s="71"/>
    </row>
    <row r="4" spans="1:19" ht="14.1" customHeight="1">
      <c r="A4" s="7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1"/>
      <c r="P4" s="71"/>
      <c r="Q4" s="71"/>
      <c r="R4" s="71"/>
      <c r="S4" s="71"/>
    </row>
    <row r="5" spans="1:19" ht="14.1" customHeight="1">
      <c r="A5" s="70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1"/>
      <c r="P5" s="71"/>
      <c r="Q5" s="71"/>
      <c r="R5" s="71"/>
      <c r="S5" s="71"/>
    </row>
    <row r="6" spans="1:19" ht="18" customHeight="1">
      <c r="A6" s="70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1"/>
      <c r="P6" s="71"/>
      <c r="Q6" s="71"/>
      <c r="R6" s="71"/>
      <c r="S6" s="71"/>
    </row>
    <row r="7" spans="1:19" ht="22.5" customHeight="1">
      <c r="A7" s="70"/>
      <c r="B7" s="72"/>
      <c r="C7" s="72"/>
      <c r="D7" s="72"/>
      <c r="E7" s="101" t="s">
        <v>0</v>
      </c>
      <c r="F7" s="95"/>
      <c r="G7" s="95"/>
      <c r="H7" s="95"/>
      <c r="I7" s="95"/>
      <c r="J7" s="95"/>
      <c r="K7" s="95"/>
      <c r="L7" s="72"/>
      <c r="M7" s="72"/>
      <c r="N7" s="72"/>
      <c r="O7" s="71"/>
      <c r="P7" s="71"/>
      <c r="Q7" s="71"/>
      <c r="R7" s="71"/>
      <c r="S7" s="71"/>
    </row>
    <row r="8" spans="1:19" ht="14.1" customHeight="1">
      <c r="A8" s="70"/>
      <c r="B8" s="72"/>
      <c r="C8" s="72"/>
      <c r="D8" s="72"/>
      <c r="E8" s="95"/>
      <c r="F8" s="95"/>
      <c r="G8" s="95"/>
      <c r="H8" s="95"/>
      <c r="I8" s="95"/>
      <c r="J8" s="95"/>
      <c r="K8" s="95"/>
      <c r="L8" s="72"/>
      <c r="M8" s="72"/>
      <c r="N8" s="72"/>
      <c r="O8" s="71"/>
      <c r="P8" s="71"/>
      <c r="Q8" s="71"/>
      <c r="R8" s="71"/>
      <c r="S8" s="71"/>
    </row>
    <row r="9" spans="1:19" ht="14.1" customHeight="1">
      <c r="A9" s="70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1"/>
      <c r="P9" s="71"/>
      <c r="Q9" s="71"/>
      <c r="R9" s="71"/>
      <c r="S9" s="71"/>
    </row>
    <row r="10" spans="1:19" ht="14.1" customHeight="1">
      <c r="A10" s="70"/>
      <c r="B10" s="72"/>
      <c r="C10" s="72"/>
      <c r="D10" s="72"/>
      <c r="E10" s="98" t="s">
        <v>1</v>
      </c>
      <c r="F10" s="95"/>
      <c r="G10" s="95"/>
      <c r="H10" s="95"/>
      <c r="I10" s="95"/>
      <c r="J10" s="95"/>
      <c r="K10" s="95"/>
      <c r="L10" s="72"/>
      <c r="M10" s="72"/>
      <c r="N10" s="72"/>
      <c r="O10" s="71"/>
      <c r="P10" s="71"/>
      <c r="Q10" s="71"/>
      <c r="R10" s="71"/>
      <c r="S10" s="71"/>
    </row>
    <row r="11" spans="1:19" ht="14.1" customHeight="1">
      <c r="A11" s="70"/>
      <c r="B11" s="72"/>
      <c r="C11" s="72"/>
      <c r="D11" s="72"/>
      <c r="E11" s="95"/>
      <c r="F11" s="95"/>
      <c r="G11" s="95"/>
      <c r="H11" s="95"/>
      <c r="I11" s="95"/>
      <c r="J11" s="95"/>
      <c r="K11" s="95"/>
      <c r="L11" s="72"/>
      <c r="M11" s="72"/>
      <c r="N11" s="72"/>
      <c r="O11" s="71"/>
      <c r="P11" s="71"/>
      <c r="Q11" s="71"/>
      <c r="R11" s="71"/>
      <c r="S11" s="71"/>
    </row>
    <row r="12" spans="1:19" ht="14.1" customHeight="1">
      <c r="A12" s="70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1"/>
      <c r="P12" s="71"/>
      <c r="Q12" s="71"/>
      <c r="R12" s="71"/>
      <c r="S12" s="71"/>
    </row>
    <row r="13" spans="1:19" ht="14.1" customHeight="1">
      <c r="A13" s="70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1"/>
      <c r="P13" s="71"/>
      <c r="Q13" s="71"/>
      <c r="R13" s="71"/>
      <c r="S13" s="71"/>
    </row>
    <row r="14" spans="1:19" ht="14.1" customHeight="1">
      <c r="A14" s="70"/>
      <c r="B14" s="72"/>
      <c r="C14" s="96" t="s">
        <v>2</v>
      </c>
      <c r="D14" s="95"/>
      <c r="E14" s="97" t="s">
        <v>1</v>
      </c>
      <c r="F14" s="95"/>
      <c r="G14" s="95"/>
      <c r="H14" s="72"/>
      <c r="I14" s="96" t="s">
        <v>3</v>
      </c>
      <c r="J14" s="95"/>
      <c r="K14" s="99" t="s">
        <v>4</v>
      </c>
      <c r="L14" s="95"/>
      <c r="M14" s="95"/>
      <c r="N14" s="72"/>
      <c r="O14" s="71"/>
      <c r="P14" s="71"/>
      <c r="Q14" s="71"/>
      <c r="R14" s="71"/>
      <c r="S14" s="71"/>
    </row>
    <row r="15" spans="1:19" ht="14.1" customHeight="1">
      <c r="A15" s="70"/>
      <c r="B15" s="72"/>
      <c r="C15" s="96" t="s">
        <v>5</v>
      </c>
      <c r="D15" s="95"/>
      <c r="E15" s="97" t="s">
        <v>1</v>
      </c>
      <c r="F15" s="95"/>
      <c r="G15" s="95"/>
      <c r="H15" s="72"/>
      <c r="I15" s="96" t="s">
        <v>6</v>
      </c>
      <c r="J15" s="95"/>
      <c r="K15" s="99" t="s">
        <v>7</v>
      </c>
      <c r="L15" s="95"/>
      <c r="M15" s="95"/>
      <c r="N15" s="72"/>
      <c r="O15" s="71"/>
      <c r="P15" s="71"/>
      <c r="Q15" s="71"/>
      <c r="R15" s="71"/>
      <c r="S15" s="71"/>
    </row>
    <row r="16" spans="1:19" ht="14.1" customHeight="1">
      <c r="A16" s="70"/>
      <c r="B16" s="72"/>
      <c r="C16" s="84" t="s">
        <v>8</v>
      </c>
      <c r="D16" s="84"/>
      <c r="E16" s="85"/>
      <c r="F16" s="85"/>
      <c r="G16" s="85"/>
      <c r="H16" s="72"/>
      <c r="I16" s="96" t="s">
        <v>9</v>
      </c>
      <c r="J16" s="95"/>
      <c r="K16" s="86"/>
      <c r="L16" s="86"/>
      <c r="M16" s="86"/>
      <c r="N16" s="72"/>
      <c r="O16" s="71"/>
      <c r="P16" s="71"/>
      <c r="Q16" s="71"/>
      <c r="R16" s="71"/>
      <c r="S16" s="71"/>
    </row>
    <row r="17" spans="1:19" ht="14.1" customHeight="1">
      <c r="A17" s="70"/>
      <c r="B17" s="72"/>
      <c r="C17" s="96" t="s">
        <v>10</v>
      </c>
      <c r="D17" s="95"/>
      <c r="E17" s="97" t="s">
        <v>11</v>
      </c>
      <c r="F17" s="95"/>
      <c r="G17" s="95"/>
      <c r="H17" s="72"/>
      <c r="I17" s="96" t="s">
        <v>12</v>
      </c>
      <c r="J17" s="95"/>
      <c r="K17" s="100" t="s">
        <v>13</v>
      </c>
      <c r="L17" s="95"/>
      <c r="M17" s="95"/>
      <c r="N17" s="72"/>
      <c r="O17" s="71"/>
      <c r="P17" s="71"/>
      <c r="Q17" s="71"/>
      <c r="R17" s="71"/>
      <c r="S17" s="71"/>
    </row>
    <row r="18" spans="1:19" ht="14.1" customHeight="1">
      <c r="A18" s="70"/>
      <c r="B18" s="72"/>
      <c r="C18" s="96" t="s">
        <v>6</v>
      </c>
      <c r="D18" s="95"/>
      <c r="E18" s="97" t="s">
        <v>14</v>
      </c>
      <c r="F18" s="95"/>
      <c r="G18" s="95"/>
      <c r="H18" s="72"/>
      <c r="I18" s="96" t="s">
        <v>6</v>
      </c>
      <c r="J18" s="95"/>
      <c r="K18" s="99" t="s">
        <v>15</v>
      </c>
      <c r="L18" s="95"/>
      <c r="M18" s="95"/>
      <c r="N18" s="72"/>
      <c r="O18" s="71"/>
      <c r="P18" s="71"/>
      <c r="Q18" s="71"/>
      <c r="R18" s="71"/>
      <c r="S18" s="71"/>
    </row>
    <row r="19" spans="1:19" ht="14.1" customHeight="1">
      <c r="A19" s="70"/>
      <c r="B19" s="72"/>
      <c r="C19" s="96" t="s">
        <v>16</v>
      </c>
      <c r="D19" s="95"/>
      <c r="E19" s="94">
        <v>46153</v>
      </c>
      <c r="F19" s="95"/>
      <c r="G19" s="95"/>
      <c r="H19" s="72"/>
      <c r="I19" s="96" t="s">
        <v>17</v>
      </c>
      <c r="J19" s="95"/>
      <c r="K19" s="99"/>
      <c r="L19" s="95"/>
      <c r="M19" s="95"/>
      <c r="N19" s="72"/>
      <c r="O19" s="71"/>
      <c r="P19" s="71"/>
      <c r="Q19" s="71"/>
      <c r="R19" s="71"/>
      <c r="S19" s="71"/>
    </row>
    <row r="20" spans="1:19" ht="14.1" customHeight="1">
      <c r="A20" s="70"/>
      <c r="B20" s="72"/>
      <c r="C20" s="96" t="s">
        <v>18</v>
      </c>
      <c r="D20" s="95"/>
      <c r="E20" s="97">
        <v>0.1</v>
      </c>
      <c r="F20" s="95"/>
      <c r="G20" s="95"/>
      <c r="H20" s="72"/>
      <c r="I20" s="96"/>
      <c r="J20" s="95"/>
      <c r="K20" s="102"/>
      <c r="L20" s="95"/>
      <c r="M20" s="95"/>
      <c r="N20" s="72"/>
      <c r="O20" s="71"/>
      <c r="P20" s="71"/>
      <c r="Q20" s="71"/>
      <c r="R20" s="71"/>
      <c r="S20" s="71"/>
    </row>
    <row r="21" spans="1:19" ht="14.1" customHeight="1">
      <c r="A21" s="70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1"/>
      <c r="P21" s="71"/>
      <c r="Q21" s="71"/>
      <c r="R21" s="71"/>
      <c r="S21" s="71"/>
    </row>
    <row r="22" spans="1:19" ht="14.1" customHeight="1">
      <c r="A22" s="7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1"/>
      <c r="P22" s="71"/>
      <c r="Q22" s="71"/>
      <c r="R22" s="71"/>
      <c r="S22" s="71"/>
    </row>
    <row r="23" spans="1:19" ht="14.1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/>
      <c r="P23" s="71"/>
      <c r="Q23" s="71"/>
      <c r="R23" s="71"/>
      <c r="S23" s="71"/>
    </row>
    <row r="24" spans="1:19" ht="14.1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</row>
    <row r="25" spans="1:19" ht="14.1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</row>
    <row r="26" spans="1:19" ht="14.1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</row>
    <row r="27" spans="1:19" ht="14.1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</row>
    <row r="28" spans="1:19" ht="14.1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ht="14.1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ht="14.1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ht="14.1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ht="14.1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19" ht="14.1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</row>
    <row r="34" spans="1:19" ht="14.1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</row>
    <row r="35" spans="1:19" ht="14.1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</row>
    <row r="36" spans="1:19" ht="14.1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</row>
    <row r="37" spans="1:19" ht="14.1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</row>
    <row r="38" spans="1:19" ht="14.1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</row>
    <row r="39" spans="1:19" ht="14.1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</row>
    <row r="40" spans="1:19" ht="14.1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</row>
    <row r="41" spans="1:19" ht="14.1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</row>
    <row r="42" spans="1:19" ht="14.1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</row>
    <row r="43" spans="1:19" ht="14.1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</row>
    <row r="44" spans="1:19" ht="14.1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</row>
    <row r="45" spans="1:19" ht="14.1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</row>
    <row r="46" spans="1:19" ht="14.1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</row>
    <row r="47" spans="1:19" ht="14.1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</row>
    <row r="48" spans="1:19" ht="14.1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ht="14.1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19" ht="14.1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</row>
    <row r="51" spans="1:19" ht="14.1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</row>
    <row r="52" spans="1:19" ht="14.1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</row>
    <row r="53" spans="1:19" ht="14.1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</row>
    <row r="54" spans="1:19" ht="14.1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pans="1:19" ht="14.1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pans="1:19" ht="14.1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pans="1:19" ht="14.1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</row>
    <row r="58" spans="1:19" ht="14.1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</row>
    <row r="59" spans="1:19" ht="14.1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</row>
    <row r="60" spans="1:19" ht="14.1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</row>
    <row r="61" spans="1:19" ht="14.1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</row>
    <row r="62" spans="1:19" ht="14.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</row>
    <row r="63" spans="1:19" ht="14.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</row>
    <row r="64" spans="1:19" ht="14.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</row>
    <row r="65" spans="1:19" ht="14.1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</row>
    <row r="66" spans="1:19" ht="14.1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</row>
    <row r="67" spans="1:19" ht="14.1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</row>
    <row r="68" spans="1:19" ht="14.1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</row>
    <row r="69" spans="1:19" ht="14.1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</row>
    <row r="70" spans="1:19" ht="14.1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</row>
    <row r="71" spans="1:19" ht="14.1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</row>
    <row r="72" spans="1:19" ht="14.1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</row>
    <row r="73" spans="1:19" ht="14.1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</row>
    <row r="74" spans="1:19" ht="14.1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</row>
    <row r="75" spans="1:19" ht="14.1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</row>
    <row r="76" spans="1:19" ht="14.1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</row>
    <row r="77" spans="1:19" ht="14.1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</row>
    <row r="78" spans="1:19" ht="14.1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</row>
    <row r="79" spans="1:19" ht="14.1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</row>
    <row r="80" spans="1:19" ht="14.1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</row>
    <row r="81" spans="1:19" ht="14.1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</row>
    <row r="82" spans="1:19" ht="14.1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</row>
    <row r="83" spans="1:19" ht="14.1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</row>
    <row r="84" spans="1:19" ht="14.1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</row>
    <row r="85" spans="1:19" ht="14.1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</row>
    <row r="86" spans="1:19" ht="14.1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</row>
    <row r="87" spans="1:19" ht="14.1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</row>
    <row r="88" spans="1:19" ht="14.1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</row>
    <row r="89" spans="1:19" ht="14.1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</row>
    <row r="90" spans="1:19" ht="14.1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</row>
    <row r="91" spans="1:19" ht="14.1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</row>
    <row r="92" spans="1:19" ht="14.1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</row>
    <row r="93" spans="1:19" ht="14.1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</row>
    <row r="94" spans="1:19" ht="14.1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</row>
    <row r="95" spans="1:19" ht="14.1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</row>
    <row r="96" spans="1:19" ht="14.1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</row>
    <row r="97" spans="1:19" ht="14.1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</row>
    <row r="98" spans="1:19" ht="14.1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</row>
    <row r="99" spans="1:19" ht="14.1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</row>
    <row r="100" spans="1:19" ht="14.1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</row>
    <row r="101" spans="1:19" ht="14.1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</row>
    <row r="102" spans="1:19" ht="14.1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</row>
    <row r="103" spans="1:19" ht="14.1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</row>
    <row r="104" spans="1:19" ht="14.1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</row>
    <row r="105" spans="1:19" ht="14.1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</row>
    <row r="106" spans="1:19" ht="14.1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</row>
    <row r="107" spans="1:19" ht="14.1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</row>
    <row r="108" spans="1:19" ht="14.1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</row>
    <row r="109" spans="1:19" ht="14.1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</row>
    <row r="110" spans="1:19" ht="14.1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</row>
    <row r="111" spans="1:19" ht="14.1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</row>
    <row r="112" spans="1:19" ht="14.1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</row>
    <row r="113" spans="1:19" ht="14.1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</row>
    <row r="114" spans="1:19" ht="14.1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</row>
    <row r="115" spans="1:19" ht="14.1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</row>
    <row r="116" spans="1:19" ht="14.1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</row>
    <row r="117" spans="1:19" ht="14.1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</row>
    <row r="118" spans="1:19" ht="14.1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</row>
    <row r="119" spans="1:19" ht="14.1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</row>
    <row r="120" spans="1:19" ht="14.1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</row>
    <row r="121" spans="1:19" ht="14.1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</row>
    <row r="122" spans="1:19" ht="14.1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</row>
    <row r="123" spans="1:19" ht="14.1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</row>
    <row r="124" spans="1:19" ht="14.1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</row>
    <row r="125" spans="1:19" ht="14.1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</row>
    <row r="126" spans="1:19" ht="14.1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</row>
    <row r="127" spans="1:19" ht="14.1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</row>
    <row r="128" spans="1:19" ht="14.1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</row>
    <row r="129" spans="1:19" ht="14.1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</row>
    <row r="130" spans="1:19" ht="14.1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</row>
    <row r="131" spans="1:19" ht="14.1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</row>
    <row r="132" spans="1:19" ht="14.1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</row>
    <row r="133" spans="1:19" ht="14.1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</row>
    <row r="134" spans="1:19" ht="14.1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</row>
    <row r="135" spans="1:19" ht="14.1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</row>
    <row r="136" spans="1:19" ht="14.1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</row>
    <row r="137" spans="1:19" ht="14.1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</row>
    <row r="138" spans="1:19" ht="14.1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</row>
    <row r="139" spans="1:19" ht="14.1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</row>
    <row r="140" spans="1:19" ht="14.1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</row>
    <row r="141" spans="1:19" ht="14.1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</row>
    <row r="142" spans="1:19" ht="14.1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</row>
    <row r="143" spans="1:19" ht="14.1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</row>
    <row r="144" spans="1:19" ht="14.1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</row>
    <row r="145" spans="1:19" ht="14.1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</row>
    <row r="146" spans="1:19" ht="14.1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</row>
    <row r="147" spans="1:19" ht="14.1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</row>
    <row r="148" spans="1:19" ht="14.1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</row>
  </sheetData>
  <mergeCells count="27">
    <mergeCell ref="E7:K8"/>
    <mergeCell ref="I14:J14"/>
    <mergeCell ref="C17:D17"/>
    <mergeCell ref="I17:J17"/>
    <mergeCell ref="K15:M15"/>
    <mergeCell ref="E14:G14"/>
    <mergeCell ref="E17:G17"/>
    <mergeCell ref="E10:K11"/>
    <mergeCell ref="C20:D20"/>
    <mergeCell ref="I16:J16"/>
    <mergeCell ref="K14:M14"/>
    <mergeCell ref="K17:M17"/>
    <mergeCell ref="I18:J18"/>
    <mergeCell ref="K19:M19"/>
    <mergeCell ref="E18:G18"/>
    <mergeCell ref="K18:M18"/>
    <mergeCell ref="I20:J20"/>
    <mergeCell ref="K20:M20"/>
    <mergeCell ref="C19:D19"/>
    <mergeCell ref="I19:J19"/>
    <mergeCell ref="C18:D18"/>
    <mergeCell ref="E20:G20"/>
    <mergeCell ref="E19:G19"/>
    <mergeCell ref="C15:D15"/>
    <mergeCell ref="I15:J15"/>
    <mergeCell ref="C14:D14"/>
    <mergeCell ref="E15:G15"/>
  </mergeCells>
  <hyperlinks>
    <hyperlink ref="K17" r:id="rId1"/>
  </hyperlink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9"/>
  <sheetViews>
    <sheetView topLeftCell="A2" zoomScaleNormal="100" workbookViewId="0">
      <selection activeCell="E24" sqref="E24"/>
    </sheetView>
  </sheetViews>
  <sheetFormatPr defaultColWidth="12.5703125" defaultRowHeight="15" customHeight="1"/>
  <cols>
    <col min="1" max="1" width="3.28515625" style="83" customWidth="1"/>
    <col min="2" max="2" width="14.5703125" style="83" customWidth="1"/>
    <col min="3" max="3" width="11.140625" style="83" customWidth="1"/>
    <col min="4" max="4" width="36.42578125" style="83" customWidth="1"/>
    <col min="5" max="5" width="9" style="83" customWidth="1"/>
    <col min="6" max="6" width="12.42578125" style="83" customWidth="1"/>
    <col min="7" max="7" width="10.42578125" style="83" customWidth="1"/>
    <col min="8" max="9" width="11.28515625" style="83" customWidth="1"/>
    <col min="10" max="10" width="10.5703125" style="83" customWidth="1"/>
    <col min="11" max="11" width="11.7109375" style="83" customWidth="1"/>
    <col min="12" max="12" width="20.42578125" style="83" customWidth="1"/>
    <col min="13" max="13" width="8.7109375" style="83" customWidth="1"/>
    <col min="14" max="14" width="8.140625" style="83" customWidth="1"/>
    <col min="15" max="15" width="10.5703125" style="83" customWidth="1"/>
    <col min="16" max="16" width="5.85546875" style="83" customWidth="1"/>
    <col min="17" max="17" width="4.5703125" style="83" customWidth="1"/>
  </cols>
  <sheetData>
    <row r="1" spans="1:29" ht="39" customHeight="1">
      <c r="A1" s="82"/>
      <c r="B1" s="110" t="s">
        <v>19</v>
      </c>
      <c r="C1" s="108"/>
      <c r="D1" s="108"/>
      <c r="E1" s="108"/>
      <c r="F1" s="108"/>
      <c r="G1" s="108"/>
      <c r="H1" s="108"/>
      <c r="I1" s="108"/>
      <c r="J1" s="109"/>
      <c r="K1" s="82"/>
      <c r="L1" s="82"/>
      <c r="M1" s="82"/>
      <c r="N1" s="82"/>
      <c r="O1" s="82"/>
      <c r="P1" s="82"/>
      <c r="Q1" s="82"/>
      <c r="R1" s="82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spans="1:29" ht="15.75" customHeight="1">
      <c r="A2" s="82"/>
      <c r="B2" s="64" t="s">
        <v>20</v>
      </c>
      <c r="C2" s="64" t="s">
        <v>21</v>
      </c>
      <c r="D2" s="64" t="s">
        <v>22</v>
      </c>
      <c r="E2" s="64" t="s">
        <v>23</v>
      </c>
      <c r="F2" s="64" t="s">
        <v>24</v>
      </c>
      <c r="G2" s="64" t="s">
        <v>25</v>
      </c>
      <c r="H2" s="64" t="s">
        <v>26</v>
      </c>
      <c r="I2" s="64" t="s">
        <v>27</v>
      </c>
      <c r="J2" s="64" t="s">
        <v>28</v>
      </c>
      <c r="K2" s="82"/>
      <c r="L2" s="82"/>
      <c r="M2" s="82"/>
      <c r="N2" s="82"/>
      <c r="O2" s="82"/>
      <c r="P2" s="82"/>
      <c r="Q2" s="82"/>
      <c r="R2" s="82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ht="15.75" customHeight="1">
      <c r="A3" s="82"/>
      <c r="B3" s="65" t="s">
        <v>29</v>
      </c>
      <c r="C3" s="66">
        <f>IFERROR((F3+G3)/(E3-H3-I3),0)</f>
        <v>0</v>
      </c>
      <c r="D3" s="66">
        <f>IFERROR((F3)/(E3-H3-I3),0)</f>
        <v>0</v>
      </c>
      <c r="E3" s="65" t="e">
        <f>SUM(F3:J3)</f>
        <v>#REF!</v>
      </c>
      <c r="F3" s="65" t="e">
        <f>'[1]Tên tính năng'!J1+'[1]Tên tính năng'!M1</f>
        <v>#REF!</v>
      </c>
      <c r="G3" s="65" t="e">
        <f>'[1]Tên tính năng'!J2+'[1]Tên tính năng'!M2</f>
        <v>#REF!</v>
      </c>
      <c r="H3" s="65" t="e">
        <f>'[1]Tên tính năng'!J5+'[1]Tên tính năng'!M5</f>
        <v>#REF!</v>
      </c>
      <c r="I3" s="65" t="e">
        <f>'[1]Tên tính năng'!J4+'[1]Tên tính năng'!M4</f>
        <v>#REF!</v>
      </c>
      <c r="J3" s="65" t="e">
        <f>'[1]Tên tính năng'!J3+'[1]Tên tính năng'!M3</f>
        <v>#REF!</v>
      </c>
      <c r="K3" s="82"/>
      <c r="L3" s="82"/>
      <c r="M3" s="82"/>
      <c r="N3" s="82"/>
      <c r="O3" s="82"/>
      <c r="P3" s="82"/>
      <c r="Q3" s="82"/>
      <c r="R3" s="82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ht="15.75" customHeight="1">
      <c r="A4" s="82"/>
      <c r="B4" s="65" t="s">
        <v>30</v>
      </c>
      <c r="C4" s="66">
        <f>IFERROR((F4+G4)/(E4-H4-I4),0)</f>
        <v>0</v>
      </c>
      <c r="D4" s="66">
        <f>IFERROR((F4)/(E4-H4-I4),0)</f>
        <v>0</v>
      </c>
      <c r="E4" s="65" t="e">
        <f>SUM(F4:J4)</f>
        <v>#REF!</v>
      </c>
      <c r="F4" s="65" t="e">
        <f>'[1]Tên tính năng'!J2+'[1]Tên tính năng'!M2</f>
        <v>#REF!</v>
      </c>
      <c r="G4" s="65" t="e">
        <f>'[1]Tên tính năng'!J3+'[1]Tên tính năng'!M3</f>
        <v>#REF!</v>
      </c>
      <c r="H4" s="65" t="e">
        <f>'[1]Tên tính năng'!J6+'[1]Tên tính năng'!M6</f>
        <v>#REF!</v>
      </c>
      <c r="I4" s="65" t="e">
        <f>'[1]Tên tính năng'!J5+'[1]Tên tính năng'!M5</f>
        <v>#REF!</v>
      </c>
      <c r="J4" s="65" t="e">
        <f>'[1]Tên tính năng'!J4+'[1]Tên tính năng'!M4</f>
        <v>#REF!</v>
      </c>
      <c r="K4" s="82"/>
      <c r="L4" s="82"/>
      <c r="M4" s="82"/>
      <c r="N4" s="82"/>
      <c r="O4" s="82"/>
      <c r="P4" s="82"/>
      <c r="Q4" s="82"/>
      <c r="R4" s="82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29" ht="15.75" customHeight="1">
      <c r="A5" s="82"/>
      <c r="B5" s="65" t="s">
        <v>31</v>
      </c>
      <c r="C5" s="66">
        <f>IFERROR((F5+G5)/(E5-H5-I5),0)</f>
        <v>0</v>
      </c>
      <c r="D5" s="66">
        <f>IFERROR((F5)/(E5-H5-I5),0)</f>
        <v>0</v>
      </c>
      <c r="E5" s="65" t="e">
        <f>SUM(F5:J5)</f>
        <v>#REF!</v>
      </c>
      <c r="F5" s="65" t="e">
        <f>'[1]Tên tính năng'!J3+'[1]Tên tính năng'!M3</f>
        <v>#REF!</v>
      </c>
      <c r="G5" s="65" t="e">
        <f>'[1]Tên tính năng'!J4+'[1]Tên tính năng'!M4</f>
        <v>#REF!</v>
      </c>
      <c r="H5" s="65" t="e">
        <f>'[1]Tên tính năng'!J7+'[1]Tên tính năng'!M7</f>
        <v>#REF!</v>
      </c>
      <c r="I5" s="65" t="e">
        <f>'[1]Tên tính năng'!J6+'[1]Tên tính năng'!M6</f>
        <v>#REF!</v>
      </c>
      <c r="J5" s="65" t="e">
        <f>'[1]Tên tính năng'!J5+'[1]Tên tính năng'!M5</f>
        <v>#REF!</v>
      </c>
      <c r="K5" s="82"/>
      <c r="L5" s="82"/>
      <c r="M5" s="82"/>
      <c r="N5" s="82"/>
      <c r="O5" s="82"/>
      <c r="P5" s="82"/>
      <c r="Q5" s="82"/>
      <c r="R5" s="82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 ht="15.75" customHeight="1">
      <c r="A6" s="82"/>
      <c r="B6" s="65" t="s">
        <v>32</v>
      </c>
      <c r="C6" s="66">
        <f>IFERROR((F6+G6)/(E6-H6-I6),0)</f>
        <v>0</v>
      </c>
      <c r="D6" s="66">
        <f>IFERROR((F6)/(E6-H6-I6),0)</f>
        <v>0</v>
      </c>
      <c r="E6" s="65" t="e">
        <f>SUM(F6:J6)</f>
        <v>#REF!</v>
      </c>
      <c r="F6" s="65" t="e">
        <f>'[1]Tên tính năng'!J4+'[1]Tên tính năng'!M4</f>
        <v>#REF!</v>
      </c>
      <c r="G6" s="65" t="e">
        <f>'[1]Tên tính năng'!J5+'[1]Tên tính năng'!M5</f>
        <v>#REF!</v>
      </c>
      <c r="H6" s="65" t="e">
        <f>'[1]Tên tính năng'!J8+'[1]Tên tính năng'!M8</f>
        <v>#REF!</v>
      </c>
      <c r="I6" s="65" t="e">
        <f>'[1]Tên tính năng'!J7+'[1]Tên tính năng'!M7</f>
        <v>#REF!</v>
      </c>
      <c r="J6" s="65" t="e">
        <f>'[1]Tên tính năng'!J6+'[1]Tên tính năng'!M6</f>
        <v>#REF!</v>
      </c>
      <c r="K6" s="82"/>
      <c r="L6" s="82"/>
      <c r="M6" s="82"/>
      <c r="N6" s="82"/>
      <c r="O6" s="82"/>
      <c r="P6" s="82"/>
      <c r="Q6" s="82"/>
      <c r="R6" s="82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1:29" ht="15.75" customHeight="1">
      <c r="A7" s="82"/>
      <c r="B7" s="65"/>
      <c r="C7" s="66"/>
      <c r="D7" s="66"/>
      <c r="E7" s="65"/>
      <c r="F7" s="65"/>
      <c r="G7" s="65"/>
      <c r="H7" s="65"/>
      <c r="I7" s="65"/>
      <c r="J7" s="65"/>
      <c r="K7" s="82"/>
      <c r="L7" s="82"/>
      <c r="M7" s="82"/>
      <c r="N7" s="82"/>
      <c r="O7" s="82"/>
      <c r="P7" s="82"/>
      <c r="Q7" s="82"/>
      <c r="R7" s="82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29" ht="15.75" customHeight="1">
      <c r="A8" s="82"/>
      <c r="B8" s="64" t="s">
        <v>33</v>
      </c>
      <c r="C8" s="67">
        <f>IFERROR((F8+G8)/(E8-H8-I8),0)</f>
        <v>0</v>
      </c>
      <c r="D8" s="67">
        <f>IFERROR((F8)/(E8-H8-I8),0)</f>
        <v>0</v>
      </c>
      <c r="E8" s="64" t="e">
        <f t="shared" ref="E8:J8" si="0">SUM(E3:E7)</f>
        <v>#REF!</v>
      </c>
      <c r="F8" s="64" t="e">
        <f t="shared" si="0"/>
        <v>#REF!</v>
      </c>
      <c r="G8" s="64" t="e">
        <f t="shared" si="0"/>
        <v>#REF!</v>
      </c>
      <c r="H8" s="64" t="e">
        <f t="shared" si="0"/>
        <v>#REF!</v>
      </c>
      <c r="I8" s="64" t="e">
        <f t="shared" si="0"/>
        <v>#REF!</v>
      </c>
      <c r="J8" s="64" t="e">
        <f t="shared" si="0"/>
        <v>#REF!</v>
      </c>
      <c r="K8" s="82"/>
      <c r="L8" s="82"/>
      <c r="M8" s="82"/>
      <c r="N8" s="82"/>
      <c r="O8" s="82"/>
      <c r="P8" s="82"/>
      <c r="Q8" s="82"/>
      <c r="R8" s="82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29" ht="12.9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29" ht="12.95" customHeight="1">
      <c r="A10" s="68"/>
      <c r="B10" s="110" t="s">
        <v>34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2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</row>
    <row r="11" spans="1:29" ht="12.95" customHeight="1">
      <c r="A11" s="68"/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5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</row>
    <row r="12" spans="1:29" ht="26.25" customHeight="1">
      <c r="A12" s="69"/>
      <c r="B12" s="107" t="s">
        <v>35</v>
      </c>
      <c r="C12" s="103" t="s">
        <v>20</v>
      </c>
      <c r="D12" s="103" t="s">
        <v>36</v>
      </c>
      <c r="E12" s="116" t="s">
        <v>8</v>
      </c>
      <c r="F12" s="117" t="s">
        <v>37</v>
      </c>
      <c r="G12" s="117" t="s">
        <v>38</v>
      </c>
      <c r="H12" s="107" t="s">
        <v>39</v>
      </c>
      <c r="I12" s="108"/>
      <c r="J12" s="108"/>
      <c r="K12" s="109"/>
      <c r="L12" s="118" t="s">
        <v>40</v>
      </c>
      <c r="M12" s="108"/>
      <c r="N12" s="108"/>
      <c r="O12" s="108"/>
      <c r="P12" s="108"/>
      <c r="Q12" s="108"/>
      <c r="R12" s="10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 spans="1:29" ht="27.75" customHeight="1">
      <c r="A13" s="69"/>
      <c r="B13" s="106"/>
      <c r="C13" s="106"/>
      <c r="D13" s="106"/>
      <c r="E13" s="106"/>
      <c r="F13" s="106"/>
      <c r="G13" s="106"/>
      <c r="H13" s="103" t="s">
        <v>41</v>
      </c>
      <c r="I13" s="103" t="s">
        <v>42</v>
      </c>
      <c r="J13" s="103" t="s">
        <v>43</v>
      </c>
      <c r="K13" s="103" t="s">
        <v>44</v>
      </c>
      <c r="L13" s="105" t="s">
        <v>45</v>
      </c>
      <c r="M13" s="105" t="s">
        <v>46</v>
      </c>
      <c r="N13" s="105" t="s">
        <v>47</v>
      </c>
      <c r="O13" s="105" t="s">
        <v>48</v>
      </c>
      <c r="P13" s="105" t="s">
        <v>49</v>
      </c>
      <c r="Q13" s="105" t="s">
        <v>43</v>
      </c>
      <c r="R13" s="105" t="s">
        <v>44</v>
      </c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 spans="1:29" ht="36.75" customHeight="1">
      <c r="A14" s="69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spans="1:29" ht="41.25" customHeight="1">
      <c r="A15" s="69"/>
      <c r="B15" s="76">
        <f>ROW()-6</f>
        <v>9</v>
      </c>
      <c r="C15" s="77" t="s">
        <v>29</v>
      </c>
      <c r="D15" s="77" t="s">
        <v>50</v>
      </c>
      <c r="E15" s="78"/>
      <c r="F15" s="78"/>
      <c r="G15" s="78"/>
      <c r="H15" s="78"/>
      <c r="I15" s="78"/>
      <c r="J15" s="78" t="s">
        <v>11</v>
      </c>
      <c r="K15" s="78" t="s">
        <v>51</v>
      </c>
      <c r="L15" s="78"/>
      <c r="M15" s="79"/>
      <c r="N15" s="79"/>
      <c r="O15" s="78"/>
      <c r="P15" s="80">
        <f>L15+N15</f>
        <v>0</v>
      </c>
      <c r="Q15" s="78"/>
      <c r="R15" s="78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spans="1:29" ht="15.75" customHeight="1">
      <c r="A16" s="82"/>
      <c r="B16" s="81">
        <f>ROW()-6</f>
        <v>10</v>
      </c>
      <c r="C16" s="77" t="s">
        <v>30</v>
      </c>
      <c r="D16" s="82" t="s">
        <v>52</v>
      </c>
      <c r="E16" s="78"/>
      <c r="F16" s="78"/>
      <c r="G16" s="78"/>
      <c r="H16" s="78"/>
      <c r="I16" s="78"/>
      <c r="J16" s="78" t="s">
        <v>11</v>
      </c>
      <c r="K16" s="78" t="s">
        <v>51</v>
      </c>
      <c r="L16" s="78"/>
      <c r="M16" s="79"/>
      <c r="N16" s="79"/>
      <c r="O16" s="78"/>
      <c r="P16" s="80">
        <f>L16+N16</f>
        <v>0</v>
      </c>
      <c r="Q16" s="78"/>
      <c r="R16" s="78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</row>
    <row r="17" spans="1:29" ht="15.75" customHeight="1">
      <c r="A17" s="82"/>
      <c r="B17" s="81">
        <f>ROW()-6</f>
        <v>11</v>
      </c>
      <c r="C17" s="77" t="s">
        <v>31</v>
      </c>
      <c r="D17" s="82" t="s">
        <v>53</v>
      </c>
      <c r="E17" s="78"/>
      <c r="F17" s="78"/>
      <c r="G17" s="78"/>
      <c r="H17" s="78"/>
      <c r="I17" s="78"/>
      <c r="J17" s="78" t="s">
        <v>11</v>
      </c>
      <c r="K17" s="78" t="s">
        <v>51</v>
      </c>
      <c r="L17" s="78"/>
      <c r="M17" s="79"/>
      <c r="N17" s="79"/>
      <c r="O17" s="78"/>
      <c r="P17" s="80">
        <f>L17+N17</f>
        <v>0</v>
      </c>
      <c r="Q17" s="78"/>
      <c r="R17" s="78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 ht="15.75" customHeight="1">
      <c r="A18" s="82"/>
      <c r="B18" s="81">
        <f>ROW()-6</f>
        <v>12</v>
      </c>
      <c r="C18" s="77" t="s">
        <v>32</v>
      </c>
      <c r="D18" s="82" t="s">
        <v>54</v>
      </c>
      <c r="E18" s="78"/>
      <c r="F18" s="78"/>
      <c r="G18" s="78"/>
      <c r="H18" s="78"/>
      <c r="I18" s="78"/>
      <c r="J18" s="78" t="s">
        <v>11</v>
      </c>
      <c r="K18" s="78" t="s">
        <v>51</v>
      </c>
      <c r="L18" s="78"/>
      <c r="M18" s="79"/>
      <c r="N18" s="79"/>
      <c r="O18" s="78"/>
      <c r="P18" s="80">
        <f>L18+N18</f>
        <v>0</v>
      </c>
      <c r="Q18" s="78"/>
      <c r="R18" s="78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</row>
    <row r="19" spans="1:29" ht="15.75" customHeight="1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</row>
    <row r="20" spans="1:29" ht="15.75" customHeight="1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</row>
    <row r="21" spans="1:29" ht="15.75" customHeight="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</row>
    <row r="22" spans="1:29" ht="15.75" customHeight="1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</row>
    <row r="23" spans="1:29" ht="15.75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</row>
    <row r="24" spans="1:29" ht="15.75" customHeight="1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</row>
    <row r="25" spans="1:29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</row>
    <row r="26" spans="1:29" ht="15.7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</row>
    <row r="27" spans="1:29" ht="15.7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</row>
    <row r="28" spans="1:29" ht="15.7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ht="15.7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spans="1:29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spans="1:29" ht="15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spans="1:29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29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spans="1:29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spans="1:29" ht="15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</row>
    <row r="36" spans="1:29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</row>
    <row r="37" spans="1:29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</row>
    <row r="38" spans="1:29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</row>
    <row r="39" spans="1:2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</row>
    <row r="40" spans="1:29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</row>
    <row r="41" spans="1:29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</row>
    <row r="42" spans="1:29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</row>
    <row r="43" spans="1:29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</row>
    <row r="44" spans="1:29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</row>
    <row r="45" spans="1:29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</row>
    <row r="46" spans="1:29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</row>
    <row r="47" spans="1:29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</row>
    <row r="48" spans="1:29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</row>
    <row r="49" spans="1:2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spans="1:29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</row>
    <row r="51" spans="1:29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</row>
    <row r="52" spans="1:29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</row>
    <row r="53" spans="1:29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</row>
    <row r="54" spans="1:29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spans="1:29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spans="1:29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spans="1:29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</row>
    <row r="58" spans="1:29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spans="1:2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</row>
    <row r="60" spans="1:29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</row>
    <row r="61" spans="1:29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</row>
    <row r="62" spans="1:29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</row>
    <row r="63" spans="1:29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</row>
    <row r="64" spans="1:29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</row>
    <row r="65" spans="1:29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</row>
    <row r="66" spans="1:29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</row>
    <row r="67" spans="1:29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</row>
    <row r="68" spans="1:29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</row>
    <row r="69" spans="1:2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</row>
    <row r="70" spans="1:29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</row>
    <row r="71" spans="1:29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</row>
    <row r="72" spans="1:29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</row>
    <row r="73" spans="1:29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</row>
    <row r="74" spans="1:29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</row>
    <row r="75" spans="1:29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</row>
    <row r="76" spans="1:29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</row>
    <row r="77" spans="1:29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</row>
    <row r="78" spans="1:29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spans="1:2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spans="1:29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spans="1:29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spans="1:29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spans="1:29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spans="1:29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spans="1:29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spans="1:29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spans="1:29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spans="1:29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spans="1:2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spans="1:29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spans="1:29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spans="1:29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spans="1:29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spans="1:29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spans="1:29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spans="1:29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spans="1:29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spans="1:29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spans="1:2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spans="1:29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spans="1:29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spans="1:29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spans="1:29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spans="1:29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spans="1:29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spans="1:29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spans="1:29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spans="1:29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spans="1:2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spans="1:29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spans="1:29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spans="1:29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</row>
    <row r="113" spans="1:29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</row>
    <row r="114" spans="1:29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</row>
    <row r="115" spans="1:29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spans="1:29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spans="1:29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spans="1:29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spans="1:2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spans="1:29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spans="1:29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spans="1:29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spans="1:29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spans="1:29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spans="1:29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</row>
    <row r="126" spans="1:29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spans="1:29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spans="1:29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spans="1: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</row>
    <row r="130" spans="1:29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</row>
    <row r="131" spans="1:29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</row>
    <row r="132" spans="1:29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</row>
    <row r="133" spans="1:29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</row>
    <row r="134" spans="1:29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</row>
    <row r="135" spans="1:29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</row>
    <row r="136" spans="1:29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</row>
    <row r="137" spans="1:29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</row>
    <row r="138" spans="1:29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</row>
    <row r="139" spans="1:2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</row>
    <row r="140" spans="1:29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</row>
    <row r="141" spans="1:29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</row>
    <row r="142" spans="1:29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</row>
    <row r="143" spans="1:29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</row>
    <row r="144" spans="1:29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</row>
    <row r="145" spans="1:29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</row>
    <row r="146" spans="1:29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</row>
    <row r="147" spans="1:29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</row>
    <row r="148" spans="1:29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</row>
    <row r="149" spans="1:2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</row>
    <row r="150" spans="1:29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</row>
    <row r="151" spans="1:29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</row>
    <row r="152" spans="1:29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</row>
    <row r="153" spans="1:29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</row>
    <row r="154" spans="1:29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</row>
    <row r="155" spans="1:29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</row>
    <row r="156" spans="1:29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</row>
    <row r="157" spans="1:29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</row>
    <row r="158" spans="1:29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</row>
    <row r="159" spans="1:2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</row>
    <row r="160" spans="1:29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</row>
    <row r="161" spans="1:29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</row>
    <row r="162" spans="1:29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</row>
    <row r="163" spans="1:29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</row>
    <row r="164" spans="1:29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</row>
    <row r="165" spans="1:29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</row>
    <row r="166" spans="1:29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</row>
    <row r="167" spans="1:29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</row>
    <row r="168" spans="1:29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</row>
    <row r="169" spans="1:2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</row>
    <row r="170" spans="1:29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</row>
    <row r="171" spans="1:29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</row>
    <row r="172" spans="1:29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</row>
    <row r="173" spans="1:29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</row>
    <row r="174" spans="1:29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</row>
    <row r="175" spans="1:29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</row>
    <row r="176" spans="1:29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</row>
    <row r="177" spans="1:29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</row>
    <row r="178" spans="1:29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</row>
    <row r="179" spans="1:2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</row>
    <row r="180" spans="1:29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</row>
    <row r="181" spans="1:29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</row>
    <row r="182" spans="1:29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</row>
    <row r="183" spans="1:29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</row>
    <row r="184" spans="1:29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</row>
    <row r="185" spans="1:29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</row>
    <row r="186" spans="1:29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</row>
    <row r="187" spans="1:29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</row>
    <row r="188" spans="1:29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</row>
    <row r="189" spans="1:2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</row>
    <row r="190" spans="1:29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</row>
    <row r="191" spans="1:29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</row>
    <row r="192" spans="1:29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</row>
    <row r="193" spans="1:29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</row>
    <row r="194" spans="1:29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</row>
    <row r="195" spans="1:29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</row>
    <row r="196" spans="1:29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</row>
    <row r="197" spans="1:29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</row>
    <row r="198" spans="1:29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</row>
    <row r="199" spans="1:2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</row>
    <row r="200" spans="1:29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</row>
    <row r="201" spans="1:29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</row>
    <row r="202" spans="1:29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</row>
    <row r="203" spans="1:29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</row>
    <row r="204" spans="1:29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</row>
    <row r="205" spans="1:29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</row>
    <row r="206" spans="1:29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</row>
    <row r="207" spans="1:29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</row>
    <row r="208" spans="1:29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</row>
    <row r="209" spans="1:2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</row>
    <row r="210" spans="1:29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</row>
    <row r="211" spans="1:29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</row>
    <row r="212" spans="1:29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</row>
    <row r="213" spans="1:29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</row>
    <row r="214" spans="1:29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</row>
    <row r="215" spans="1:29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</row>
    <row r="216" spans="1:29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</row>
    <row r="217" spans="1:29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</row>
    <row r="218" spans="1:29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</row>
    <row r="219" spans="1:2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</row>
    <row r="220" spans="1:29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</row>
    <row r="221" spans="1:29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</row>
    <row r="222" spans="1:29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</row>
    <row r="223" spans="1:29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</row>
    <row r="224" spans="1:29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</row>
    <row r="225" spans="1:29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</row>
    <row r="226" spans="1:29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</row>
    <row r="227" spans="1:29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</row>
    <row r="228" spans="1:29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</row>
    <row r="229" spans="1: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</row>
    <row r="230" spans="1:29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</row>
    <row r="231" spans="1:29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</row>
    <row r="232" spans="1:29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</row>
    <row r="233" spans="1:29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</row>
    <row r="234" spans="1:29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</row>
    <row r="235" spans="1:29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</row>
    <row r="236" spans="1:29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</row>
    <row r="237" spans="1:29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</row>
    <row r="238" spans="1:29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</row>
    <row r="239" spans="1:2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</row>
    <row r="240" spans="1:29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</row>
    <row r="241" spans="1:29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</row>
    <row r="242" spans="1:29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</row>
    <row r="243" spans="1:29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</row>
    <row r="244" spans="1:29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</row>
    <row r="245" spans="1:29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</row>
    <row r="246" spans="1:29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</row>
    <row r="247" spans="1:29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</row>
    <row r="248" spans="1:29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</row>
    <row r="249" spans="1:2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</row>
    <row r="250" spans="1:29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</row>
    <row r="251" spans="1:29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</row>
    <row r="252" spans="1:29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</row>
    <row r="253" spans="1:29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</row>
    <row r="254" spans="1:29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</row>
    <row r="255" spans="1:29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</row>
    <row r="256" spans="1:29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</row>
    <row r="257" spans="1:29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</row>
    <row r="258" spans="1:29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</row>
    <row r="259" spans="1:2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</row>
    <row r="260" spans="1:29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</row>
    <row r="261" spans="1:29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</row>
    <row r="262" spans="1:29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</row>
    <row r="263" spans="1:29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</row>
    <row r="264" spans="1:29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</row>
    <row r="265" spans="1:29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</row>
    <row r="266" spans="1:29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</row>
    <row r="267" spans="1:29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</row>
    <row r="268" spans="1:29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</row>
    <row r="269" spans="1:2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</row>
    <row r="270" spans="1:29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</row>
    <row r="271" spans="1:29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</row>
    <row r="272" spans="1:29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</row>
    <row r="273" spans="1:29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</row>
    <row r="274" spans="1:29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</row>
    <row r="275" spans="1:29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</row>
    <row r="276" spans="1:29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</row>
    <row r="277" spans="1:29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</row>
    <row r="278" spans="1:29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</row>
    <row r="279" spans="1:2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</row>
    <row r="280" spans="1:29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</row>
    <row r="281" spans="1:29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</row>
    <row r="282" spans="1:29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</row>
    <row r="283" spans="1:29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</row>
    <row r="284" spans="1:29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</row>
    <row r="285" spans="1:29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</row>
    <row r="286" spans="1:29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</row>
    <row r="287" spans="1:29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</row>
    <row r="288" spans="1:29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</row>
    <row r="289" spans="1:2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</row>
    <row r="290" spans="1:29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</row>
    <row r="291" spans="1:29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</row>
    <row r="292" spans="1:29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</row>
    <row r="293" spans="1:29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</row>
    <row r="294" spans="1:29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</row>
    <row r="295" spans="1:29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</row>
    <row r="296" spans="1:29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</row>
    <row r="297" spans="1:29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</row>
    <row r="298" spans="1:29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</row>
    <row r="299" spans="1:2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</row>
    <row r="300" spans="1:29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</row>
    <row r="301" spans="1:29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</row>
    <row r="302" spans="1:29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</row>
    <row r="303" spans="1:29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</row>
    <row r="304" spans="1:29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</row>
    <row r="305" spans="1:29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</row>
    <row r="306" spans="1:29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</row>
    <row r="307" spans="1:29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</row>
    <row r="308" spans="1:29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</row>
    <row r="309" spans="1:2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</row>
    <row r="310" spans="1:29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</row>
    <row r="311" spans="1:29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</row>
    <row r="312" spans="1:29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</row>
    <row r="313" spans="1:29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</row>
    <row r="314" spans="1:29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</row>
    <row r="315" spans="1:29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</row>
    <row r="316" spans="1:29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</row>
    <row r="317" spans="1:29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</row>
    <row r="318" spans="1:29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</row>
    <row r="319" spans="1:2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</row>
    <row r="320" spans="1:29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</row>
    <row r="321" spans="1:29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</row>
    <row r="322" spans="1:29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</row>
    <row r="323" spans="1:29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</row>
    <row r="324" spans="1:29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</row>
    <row r="325" spans="1:29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</row>
    <row r="326" spans="1:29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</row>
    <row r="327" spans="1:29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</row>
    <row r="328" spans="1:29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</row>
    <row r="329" spans="1: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</row>
    <row r="330" spans="1:29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</row>
    <row r="331" spans="1:29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</row>
    <row r="332" spans="1:29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</row>
    <row r="333" spans="1:29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</row>
    <row r="334" spans="1:29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</row>
    <row r="335" spans="1:29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</row>
    <row r="336" spans="1:29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</row>
    <row r="337" spans="1:29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</row>
    <row r="338" spans="1:29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</row>
    <row r="339" spans="1:2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</row>
    <row r="340" spans="1:29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</row>
    <row r="341" spans="1:29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</row>
    <row r="342" spans="1:29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</row>
    <row r="343" spans="1:29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</row>
    <row r="344" spans="1:29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</row>
    <row r="345" spans="1:29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</row>
    <row r="346" spans="1:29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</row>
    <row r="347" spans="1:29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</row>
    <row r="348" spans="1:29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</row>
    <row r="349" spans="1:2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</row>
    <row r="350" spans="1:29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</row>
    <row r="351" spans="1:29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</row>
    <row r="352" spans="1:29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</row>
    <row r="353" spans="1:29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</row>
    <row r="354" spans="1:29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</row>
    <row r="355" spans="1:29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</row>
    <row r="356" spans="1:29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</row>
    <row r="357" spans="1:29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</row>
    <row r="358" spans="1:29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</row>
    <row r="359" spans="1:2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</row>
    <row r="360" spans="1:29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</row>
    <row r="361" spans="1:29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</row>
    <row r="362" spans="1:29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</row>
    <row r="363" spans="1:29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</row>
    <row r="364" spans="1:29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</row>
    <row r="365" spans="1:29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</row>
    <row r="366" spans="1:29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</row>
    <row r="367" spans="1:29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</row>
    <row r="368" spans="1:29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</row>
    <row r="369" spans="1:2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</row>
    <row r="370" spans="1:29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</row>
    <row r="371" spans="1:29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</row>
    <row r="372" spans="1:29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</row>
    <row r="373" spans="1:29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</row>
    <row r="374" spans="1:29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</row>
    <row r="375" spans="1:29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</row>
    <row r="376" spans="1:29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</row>
    <row r="377" spans="1:29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</row>
    <row r="378" spans="1:29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</row>
    <row r="379" spans="1:2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</row>
    <row r="380" spans="1:29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</row>
    <row r="381" spans="1:29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</row>
    <row r="382" spans="1:29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</row>
    <row r="383" spans="1:29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</row>
    <row r="384" spans="1:29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</row>
    <row r="385" spans="1:29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</row>
    <row r="386" spans="1:29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</row>
    <row r="387" spans="1:29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</row>
    <row r="388" spans="1:29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</row>
    <row r="389" spans="1:2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</row>
    <row r="390" spans="1:29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</row>
    <row r="391" spans="1:29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</row>
    <row r="392" spans="1:29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</row>
    <row r="393" spans="1:29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</row>
    <row r="394" spans="1:29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</row>
    <row r="395" spans="1:29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</row>
    <row r="396" spans="1:29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</row>
    <row r="397" spans="1:29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</row>
    <row r="398" spans="1:29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</row>
    <row r="399" spans="1:2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</row>
    <row r="400" spans="1:29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</row>
    <row r="401" spans="1:29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</row>
    <row r="402" spans="1:29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</row>
    <row r="403" spans="1:29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</row>
    <row r="404" spans="1:29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</row>
    <row r="405" spans="1:29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</row>
    <row r="406" spans="1:29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</row>
    <row r="407" spans="1:29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</row>
    <row r="408" spans="1:29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</row>
    <row r="409" spans="1:2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</row>
    <row r="410" spans="1:29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</row>
    <row r="411" spans="1:29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</row>
    <row r="412" spans="1:29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</row>
    <row r="413" spans="1:29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</row>
    <row r="414" spans="1:29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</row>
    <row r="415" spans="1:29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</row>
    <row r="416" spans="1:29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</row>
    <row r="417" spans="1:29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</row>
    <row r="418" spans="1:29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</row>
    <row r="419" spans="1:2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</row>
    <row r="420" spans="1:29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</row>
    <row r="421" spans="1:29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</row>
    <row r="422" spans="1:29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</row>
    <row r="423" spans="1:29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</row>
    <row r="424" spans="1:29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</row>
    <row r="425" spans="1:29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</row>
    <row r="426" spans="1:29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</row>
    <row r="427" spans="1:29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</row>
    <row r="428" spans="1:29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</row>
    <row r="429" spans="1: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</row>
    <row r="430" spans="1:29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</row>
    <row r="431" spans="1:29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</row>
    <row r="432" spans="1:29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</row>
    <row r="433" spans="1:29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</row>
    <row r="434" spans="1:29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</row>
    <row r="435" spans="1:29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</row>
    <row r="436" spans="1:29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</row>
    <row r="437" spans="1:29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</row>
    <row r="438" spans="1:29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</row>
    <row r="439" spans="1:2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</row>
    <row r="440" spans="1:29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</row>
    <row r="441" spans="1:29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</row>
    <row r="442" spans="1:29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</row>
    <row r="443" spans="1:29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</row>
    <row r="444" spans="1:29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</row>
    <row r="445" spans="1:29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</row>
    <row r="446" spans="1:29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</row>
    <row r="447" spans="1:29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</row>
    <row r="448" spans="1:29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</row>
    <row r="449" spans="1:2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</row>
    <row r="450" spans="1:29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</row>
    <row r="451" spans="1:29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</row>
    <row r="452" spans="1:29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</row>
    <row r="453" spans="1:29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</row>
    <row r="454" spans="1:29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</row>
    <row r="455" spans="1:29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</row>
    <row r="456" spans="1:29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</row>
    <row r="457" spans="1:29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</row>
    <row r="458" spans="1:29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</row>
    <row r="459" spans="1:2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</row>
    <row r="460" spans="1:29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</row>
    <row r="461" spans="1:29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</row>
    <row r="462" spans="1:29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</row>
    <row r="463" spans="1:29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</row>
    <row r="464" spans="1:29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</row>
    <row r="465" spans="1:29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</row>
    <row r="466" spans="1:29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</row>
    <row r="467" spans="1:29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</row>
    <row r="468" spans="1:29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</row>
    <row r="469" spans="1:2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</row>
    <row r="470" spans="1:29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</row>
    <row r="471" spans="1:29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</row>
    <row r="472" spans="1:29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</row>
    <row r="473" spans="1:29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</row>
    <row r="474" spans="1:29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</row>
    <row r="475" spans="1:29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</row>
    <row r="476" spans="1:29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</row>
    <row r="477" spans="1:29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</row>
    <row r="478" spans="1:29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</row>
    <row r="479" spans="1:2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</row>
    <row r="480" spans="1:29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</row>
    <row r="481" spans="1:29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</row>
    <row r="482" spans="1:29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</row>
    <row r="483" spans="1:29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</row>
    <row r="484" spans="1:29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</row>
    <row r="485" spans="1:29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</row>
    <row r="486" spans="1:29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</row>
    <row r="487" spans="1:29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</row>
    <row r="488" spans="1:29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</row>
    <row r="489" spans="1:2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</row>
    <row r="490" spans="1:29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</row>
    <row r="491" spans="1:29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</row>
    <row r="492" spans="1:29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</row>
    <row r="493" spans="1:29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</row>
    <row r="494" spans="1:29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</row>
    <row r="495" spans="1:29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</row>
    <row r="496" spans="1:29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</row>
    <row r="497" spans="1:29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</row>
    <row r="498" spans="1:29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</row>
    <row r="499" spans="1:2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</row>
    <row r="500" spans="1:29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</row>
    <row r="501" spans="1:29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</row>
    <row r="502" spans="1:29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</row>
    <row r="503" spans="1:29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</row>
    <row r="504" spans="1:29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</row>
    <row r="505" spans="1:29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</row>
    <row r="506" spans="1:29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</row>
    <row r="507" spans="1:29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</row>
    <row r="508" spans="1:29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</row>
    <row r="509" spans="1:2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</row>
    <row r="510" spans="1:29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</row>
    <row r="511" spans="1:29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</row>
    <row r="512" spans="1:29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</row>
    <row r="513" spans="1:29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</row>
    <row r="514" spans="1:29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</row>
    <row r="515" spans="1:29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</row>
    <row r="516" spans="1:29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</row>
    <row r="517" spans="1:29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</row>
    <row r="518" spans="1:29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</row>
    <row r="519" spans="1:2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</row>
    <row r="520" spans="1:29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</row>
    <row r="521" spans="1:29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</row>
    <row r="522" spans="1:29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</row>
    <row r="523" spans="1:29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</row>
    <row r="524" spans="1:29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</row>
    <row r="525" spans="1:29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</row>
    <row r="526" spans="1:29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</row>
    <row r="527" spans="1:29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</row>
    <row r="528" spans="1:29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</row>
    <row r="529" spans="1: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</row>
    <row r="530" spans="1:29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</row>
    <row r="531" spans="1:29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</row>
    <row r="532" spans="1:29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</row>
    <row r="533" spans="1:29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</row>
    <row r="534" spans="1:29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</row>
    <row r="535" spans="1:29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</row>
    <row r="536" spans="1:29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</row>
    <row r="537" spans="1:29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</row>
    <row r="538" spans="1:29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</row>
    <row r="539" spans="1:2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</row>
    <row r="540" spans="1:29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</row>
    <row r="541" spans="1:29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</row>
    <row r="542" spans="1:29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</row>
    <row r="543" spans="1:29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</row>
    <row r="544" spans="1:29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</row>
    <row r="545" spans="1:29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</row>
    <row r="546" spans="1:29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</row>
    <row r="547" spans="1:29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</row>
    <row r="548" spans="1:29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</row>
    <row r="549" spans="1:2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</row>
    <row r="550" spans="1:29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</row>
    <row r="551" spans="1:29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</row>
    <row r="552" spans="1:29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</row>
    <row r="553" spans="1:29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</row>
    <row r="554" spans="1:29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</row>
    <row r="555" spans="1:29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</row>
    <row r="556" spans="1:29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</row>
    <row r="557" spans="1:29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</row>
    <row r="558" spans="1:29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</row>
    <row r="559" spans="1:2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</row>
    <row r="560" spans="1:29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</row>
    <row r="561" spans="1:29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</row>
    <row r="562" spans="1:29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</row>
    <row r="563" spans="1:29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</row>
    <row r="564" spans="1:29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</row>
    <row r="565" spans="1:29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</row>
    <row r="566" spans="1:29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</row>
    <row r="567" spans="1:29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</row>
    <row r="568" spans="1:29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</row>
    <row r="569" spans="1:2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</row>
    <row r="570" spans="1:29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</row>
    <row r="571" spans="1:29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</row>
    <row r="572" spans="1:29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</row>
    <row r="573" spans="1:29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</row>
    <row r="574" spans="1:29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</row>
    <row r="575" spans="1:29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</row>
    <row r="576" spans="1:29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</row>
    <row r="577" spans="1:29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</row>
    <row r="578" spans="1:29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</row>
    <row r="579" spans="1:2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</row>
    <row r="580" spans="1:29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</row>
    <row r="581" spans="1:29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</row>
    <row r="582" spans="1:29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</row>
    <row r="583" spans="1:29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</row>
    <row r="584" spans="1:29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</row>
    <row r="585" spans="1:29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</row>
    <row r="586" spans="1:29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</row>
    <row r="587" spans="1:29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</row>
    <row r="588" spans="1:29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</row>
    <row r="589" spans="1:2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</row>
    <row r="590" spans="1:29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</row>
    <row r="591" spans="1:29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</row>
    <row r="592" spans="1:29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</row>
    <row r="593" spans="1:29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</row>
    <row r="594" spans="1:29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</row>
    <row r="595" spans="1:29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</row>
    <row r="596" spans="1:29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</row>
    <row r="597" spans="1:29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</row>
    <row r="598" spans="1:29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</row>
    <row r="599" spans="1:2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</row>
    <row r="600" spans="1:29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</row>
    <row r="601" spans="1:29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</row>
    <row r="602" spans="1:29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</row>
    <row r="603" spans="1:29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</row>
    <row r="604" spans="1:29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</row>
    <row r="605" spans="1:29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</row>
    <row r="606" spans="1:29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</row>
    <row r="607" spans="1:29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</row>
    <row r="608" spans="1:29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</row>
    <row r="609" spans="1:2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</row>
    <row r="610" spans="1:29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</row>
    <row r="611" spans="1:29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</row>
    <row r="612" spans="1:29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</row>
    <row r="613" spans="1:29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</row>
    <row r="614" spans="1:29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</row>
    <row r="615" spans="1:29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</row>
    <row r="616" spans="1:29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</row>
    <row r="617" spans="1:29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</row>
    <row r="618" spans="1:29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</row>
    <row r="619" spans="1:2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</row>
    <row r="620" spans="1:29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</row>
    <row r="621" spans="1:29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</row>
    <row r="622" spans="1:29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</row>
    <row r="623" spans="1:29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</row>
    <row r="624" spans="1:29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</row>
    <row r="625" spans="1:29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</row>
    <row r="626" spans="1:29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</row>
    <row r="627" spans="1:29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</row>
    <row r="628" spans="1:29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</row>
    <row r="629" spans="1: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</row>
    <row r="630" spans="1:29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</row>
    <row r="631" spans="1:29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</row>
    <row r="632" spans="1:29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</row>
    <row r="633" spans="1:29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</row>
    <row r="634" spans="1:29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</row>
    <row r="635" spans="1:29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</row>
    <row r="636" spans="1:29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</row>
    <row r="637" spans="1:29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</row>
    <row r="638" spans="1:29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</row>
    <row r="639" spans="1:2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</row>
    <row r="640" spans="1:29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</row>
    <row r="641" spans="1:29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</row>
    <row r="642" spans="1:29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</row>
    <row r="643" spans="1:29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</row>
    <row r="644" spans="1:29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</row>
    <row r="645" spans="1:29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</row>
    <row r="646" spans="1:29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</row>
    <row r="647" spans="1:29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</row>
    <row r="648" spans="1:29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</row>
    <row r="649" spans="1:2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</row>
    <row r="650" spans="1:29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</row>
    <row r="651" spans="1:29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</row>
    <row r="652" spans="1:29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</row>
    <row r="653" spans="1:29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</row>
    <row r="654" spans="1:29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</row>
    <row r="655" spans="1:29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</row>
    <row r="656" spans="1:29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</row>
    <row r="657" spans="1:29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</row>
    <row r="658" spans="1:29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</row>
    <row r="659" spans="1:2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</row>
    <row r="660" spans="1:29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</row>
    <row r="661" spans="1:29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</row>
    <row r="662" spans="1:29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</row>
    <row r="663" spans="1:29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</row>
    <row r="664" spans="1:29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</row>
    <row r="665" spans="1:29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</row>
    <row r="666" spans="1:29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</row>
    <row r="667" spans="1:29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</row>
    <row r="668" spans="1:29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</row>
    <row r="669" spans="1:2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</row>
    <row r="670" spans="1:29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</row>
    <row r="671" spans="1:29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</row>
    <row r="672" spans="1:29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</row>
    <row r="673" spans="1:29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</row>
    <row r="674" spans="1:29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</row>
    <row r="675" spans="1:29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</row>
    <row r="676" spans="1:29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</row>
    <row r="677" spans="1:29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</row>
    <row r="678" spans="1:29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</row>
    <row r="679" spans="1:2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</row>
    <row r="680" spans="1:29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</row>
    <row r="681" spans="1:29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</row>
    <row r="682" spans="1:29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</row>
    <row r="683" spans="1:29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</row>
    <row r="684" spans="1:29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</row>
    <row r="685" spans="1:29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</row>
    <row r="686" spans="1:29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</row>
    <row r="687" spans="1:29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</row>
    <row r="688" spans="1:29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</row>
    <row r="689" spans="1:2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</row>
    <row r="690" spans="1:29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</row>
    <row r="691" spans="1:29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</row>
    <row r="692" spans="1:29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</row>
    <row r="693" spans="1:29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</row>
    <row r="694" spans="1:29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</row>
    <row r="695" spans="1:29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</row>
    <row r="696" spans="1:29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</row>
    <row r="697" spans="1:29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</row>
    <row r="698" spans="1:29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</row>
    <row r="699" spans="1:2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</row>
    <row r="700" spans="1:29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</row>
    <row r="701" spans="1:29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</row>
    <row r="702" spans="1:29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</row>
    <row r="703" spans="1:29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</row>
    <row r="704" spans="1:29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</row>
    <row r="705" spans="1:29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</row>
    <row r="706" spans="1:29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</row>
    <row r="707" spans="1:29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</row>
    <row r="708" spans="1:29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</row>
    <row r="709" spans="1:2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</row>
    <row r="710" spans="1:29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</row>
    <row r="711" spans="1:29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</row>
    <row r="712" spans="1:29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</row>
    <row r="713" spans="1:29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</row>
    <row r="714" spans="1:29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</row>
    <row r="715" spans="1:29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</row>
    <row r="716" spans="1:29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</row>
    <row r="717" spans="1:29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</row>
    <row r="718" spans="1:29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</row>
    <row r="719" spans="1:2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</row>
    <row r="720" spans="1:29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</row>
    <row r="721" spans="1:29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</row>
    <row r="722" spans="1:29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</row>
    <row r="723" spans="1:29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</row>
    <row r="724" spans="1:29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</row>
    <row r="725" spans="1:29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</row>
    <row r="726" spans="1:29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</row>
    <row r="727" spans="1:29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</row>
    <row r="728" spans="1:29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</row>
    <row r="729" spans="1: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</row>
    <row r="730" spans="1:29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</row>
    <row r="731" spans="1:29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</row>
    <row r="732" spans="1:29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</row>
    <row r="733" spans="1:29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</row>
    <row r="734" spans="1:29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</row>
    <row r="735" spans="1:29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</row>
    <row r="736" spans="1:29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</row>
    <row r="737" spans="1:29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</row>
    <row r="738" spans="1:29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</row>
    <row r="739" spans="1:2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</row>
    <row r="740" spans="1:29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</row>
    <row r="741" spans="1:29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</row>
    <row r="742" spans="1:29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</row>
    <row r="743" spans="1:29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</row>
    <row r="744" spans="1:29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</row>
    <row r="745" spans="1:29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</row>
    <row r="746" spans="1:29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</row>
    <row r="747" spans="1:29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</row>
    <row r="748" spans="1:29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</row>
    <row r="749" spans="1:2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</row>
    <row r="750" spans="1:29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</row>
    <row r="751" spans="1:29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</row>
    <row r="752" spans="1:29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</row>
    <row r="753" spans="1:29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</row>
    <row r="754" spans="1:29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</row>
    <row r="755" spans="1:29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</row>
    <row r="756" spans="1:29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</row>
    <row r="757" spans="1:29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</row>
    <row r="758" spans="1:29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</row>
    <row r="759" spans="1:2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</row>
    <row r="760" spans="1:29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</row>
    <row r="761" spans="1:29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</row>
    <row r="762" spans="1:29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</row>
    <row r="763" spans="1:29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</row>
    <row r="764" spans="1:29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</row>
    <row r="765" spans="1:29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</row>
    <row r="766" spans="1:29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</row>
    <row r="767" spans="1:29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</row>
    <row r="768" spans="1:29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</row>
    <row r="769" spans="1:2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</row>
    <row r="770" spans="1:29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</row>
    <row r="771" spans="1:29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</row>
    <row r="772" spans="1:29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</row>
    <row r="773" spans="1:29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</row>
    <row r="774" spans="1:29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</row>
    <row r="775" spans="1:29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</row>
    <row r="776" spans="1:29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</row>
    <row r="777" spans="1:29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</row>
    <row r="778" spans="1:29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</row>
    <row r="779" spans="1:2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</row>
    <row r="780" spans="1:29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</row>
    <row r="781" spans="1:29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</row>
    <row r="782" spans="1:29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</row>
    <row r="783" spans="1:29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</row>
    <row r="784" spans="1:29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</row>
    <row r="785" spans="1:29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</row>
    <row r="786" spans="1:29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</row>
    <row r="787" spans="1:29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</row>
    <row r="788" spans="1:29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</row>
    <row r="789" spans="1:2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</row>
    <row r="790" spans="1:29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</row>
    <row r="791" spans="1:29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</row>
    <row r="792" spans="1:29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</row>
    <row r="793" spans="1:29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</row>
    <row r="794" spans="1:29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</row>
    <row r="795" spans="1:29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</row>
    <row r="796" spans="1:29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</row>
    <row r="797" spans="1:29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</row>
    <row r="798" spans="1:29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</row>
    <row r="799" spans="1:2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</row>
    <row r="800" spans="1:29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</row>
    <row r="801" spans="1:29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</row>
    <row r="802" spans="1:29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</row>
    <row r="803" spans="1:29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</row>
    <row r="804" spans="1:29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</row>
    <row r="805" spans="1:29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</row>
    <row r="806" spans="1:29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</row>
    <row r="807" spans="1:29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</row>
    <row r="808" spans="1:29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</row>
    <row r="809" spans="1:2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</row>
    <row r="810" spans="1:29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</row>
    <row r="811" spans="1:29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</row>
    <row r="812" spans="1:29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</row>
    <row r="813" spans="1:29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</row>
    <row r="814" spans="1:29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</row>
    <row r="815" spans="1:29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</row>
    <row r="816" spans="1:29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</row>
    <row r="817" spans="1:29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</row>
    <row r="818" spans="1:29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</row>
    <row r="819" spans="1:2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</row>
    <row r="820" spans="1:29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</row>
    <row r="821" spans="1:29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</row>
    <row r="822" spans="1:29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</row>
    <row r="823" spans="1:29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</row>
    <row r="824" spans="1:29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</row>
    <row r="825" spans="1:29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</row>
    <row r="826" spans="1:29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</row>
    <row r="827" spans="1:29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</row>
    <row r="828" spans="1:29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</row>
    <row r="829" spans="1: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</row>
    <row r="830" spans="1:29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</row>
    <row r="831" spans="1:29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</row>
    <row r="832" spans="1:29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</row>
    <row r="833" spans="1:29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</row>
    <row r="834" spans="1:29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</row>
    <row r="835" spans="1:29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</row>
    <row r="836" spans="1:29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</row>
    <row r="837" spans="1:29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</row>
    <row r="838" spans="1:29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</row>
    <row r="839" spans="1:2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</row>
    <row r="840" spans="1:29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</row>
    <row r="841" spans="1:29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</row>
    <row r="842" spans="1:29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</row>
    <row r="843" spans="1:29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</row>
    <row r="844" spans="1:29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</row>
    <row r="845" spans="1:29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</row>
    <row r="846" spans="1:29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</row>
    <row r="847" spans="1:29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</row>
    <row r="848" spans="1:29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</row>
    <row r="849" spans="1:2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</row>
    <row r="850" spans="1:29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</row>
    <row r="851" spans="1:29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</row>
    <row r="852" spans="1:29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</row>
    <row r="853" spans="1:29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</row>
    <row r="854" spans="1:29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</row>
    <row r="855" spans="1:29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</row>
    <row r="856" spans="1:29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</row>
    <row r="857" spans="1:29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</row>
    <row r="858" spans="1:29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</row>
    <row r="859" spans="1:2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</row>
    <row r="860" spans="1:29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</row>
    <row r="861" spans="1:29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</row>
    <row r="862" spans="1:29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</row>
    <row r="863" spans="1:29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</row>
    <row r="864" spans="1:29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</row>
    <row r="865" spans="1:29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</row>
    <row r="866" spans="1:29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</row>
    <row r="867" spans="1:29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</row>
    <row r="868" spans="1:29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</row>
    <row r="869" spans="1:2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</row>
    <row r="870" spans="1:29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</row>
    <row r="871" spans="1:29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</row>
    <row r="872" spans="1:29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</row>
    <row r="873" spans="1:29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</row>
    <row r="874" spans="1:29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</row>
    <row r="875" spans="1:29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</row>
    <row r="876" spans="1:29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</row>
    <row r="877" spans="1:29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</row>
    <row r="878" spans="1:29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</row>
    <row r="879" spans="1:2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</row>
    <row r="880" spans="1:29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</row>
    <row r="881" spans="1:29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</row>
    <row r="882" spans="1:29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</row>
    <row r="883" spans="1:29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</row>
    <row r="884" spans="1:29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</row>
    <row r="885" spans="1:29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</row>
    <row r="886" spans="1:29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</row>
    <row r="887" spans="1:29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</row>
    <row r="888" spans="1:29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</row>
    <row r="889" spans="1:2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</row>
    <row r="890" spans="1:29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</row>
    <row r="891" spans="1:29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</row>
    <row r="892" spans="1:29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</row>
    <row r="893" spans="1:29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</row>
    <row r="894" spans="1:29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</row>
    <row r="895" spans="1:29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</row>
    <row r="896" spans="1:29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</row>
    <row r="897" spans="1:29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</row>
    <row r="898" spans="1:29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</row>
    <row r="899" spans="1:2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</row>
    <row r="900" spans="1:29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</row>
    <row r="901" spans="1:29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</row>
    <row r="902" spans="1:29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</row>
    <row r="903" spans="1:29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</row>
    <row r="904" spans="1:29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</row>
    <row r="905" spans="1:29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</row>
    <row r="906" spans="1:29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</row>
    <row r="907" spans="1:29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</row>
    <row r="908" spans="1:29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</row>
    <row r="909" spans="1:2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</row>
    <row r="910" spans="1:29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</row>
    <row r="911" spans="1:29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</row>
    <row r="912" spans="1:29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</row>
    <row r="913" spans="1:29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</row>
    <row r="914" spans="1:29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</row>
    <row r="915" spans="1:29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</row>
    <row r="916" spans="1:29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</row>
    <row r="917" spans="1:29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</row>
    <row r="918" spans="1:29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</row>
    <row r="919" spans="1:2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</row>
    <row r="920" spans="1:29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</row>
    <row r="921" spans="1:29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</row>
    <row r="922" spans="1:29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</row>
    <row r="923" spans="1:29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</row>
    <row r="924" spans="1:29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</row>
    <row r="925" spans="1:29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</row>
    <row r="926" spans="1:29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</row>
    <row r="927" spans="1:29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</row>
    <row r="928" spans="1:29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</row>
    <row r="929" spans="1: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</row>
    <row r="930" spans="1:29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</row>
    <row r="931" spans="1:29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</row>
    <row r="932" spans="1:29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</row>
    <row r="933" spans="1:29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</row>
    <row r="934" spans="1:29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</row>
    <row r="935" spans="1:29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</row>
    <row r="936" spans="1:29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</row>
    <row r="937" spans="1:29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</row>
    <row r="938" spans="1:29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</row>
    <row r="939" spans="1:2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</row>
    <row r="940" spans="1:29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</row>
    <row r="941" spans="1:29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</row>
    <row r="942" spans="1:29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</row>
    <row r="943" spans="1:29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</row>
    <row r="944" spans="1:29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</row>
    <row r="945" spans="1:29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</row>
    <row r="946" spans="1:29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</row>
    <row r="947" spans="1:29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</row>
    <row r="948" spans="1:29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</row>
    <row r="949" spans="1:2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</row>
    <row r="950" spans="1:29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</row>
    <row r="951" spans="1:29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</row>
    <row r="952" spans="1:29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</row>
    <row r="953" spans="1:29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</row>
    <row r="954" spans="1:29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</row>
    <row r="955" spans="1:29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</row>
    <row r="956" spans="1:29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</row>
    <row r="957" spans="1:29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</row>
    <row r="958" spans="1:29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</row>
    <row r="959" spans="1:2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</row>
    <row r="960" spans="1:29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</row>
    <row r="961" spans="1:29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</row>
    <row r="962" spans="1:29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</row>
    <row r="963" spans="1:29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</row>
    <row r="964" spans="1:29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</row>
    <row r="965" spans="1:29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</row>
    <row r="966" spans="1:29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</row>
    <row r="967" spans="1:29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</row>
    <row r="968" spans="1:29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</row>
    <row r="969" spans="1:2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</row>
    <row r="970" spans="1:29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</row>
    <row r="971" spans="1:29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</row>
    <row r="972" spans="1:29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</row>
    <row r="973" spans="1:29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</row>
    <row r="974" spans="1:29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</row>
    <row r="975" spans="1:29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</row>
    <row r="976" spans="1:29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</row>
    <row r="977" spans="1:29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</row>
    <row r="978" spans="1:29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</row>
    <row r="979" spans="1:2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</row>
    <row r="980" spans="1:29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</row>
    <row r="981" spans="1:29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</row>
    <row r="982" spans="1:29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</row>
    <row r="983" spans="1:29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</row>
    <row r="984" spans="1:29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</row>
    <row r="985" spans="1:29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</row>
    <row r="986" spans="1:29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</row>
    <row r="987" spans="1:29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</row>
    <row r="988" spans="1:29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</row>
    <row r="989" spans="1:2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</row>
    <row r="990" spans="1:29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</row>
    <row r="991" spans="1:29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</row>
    <row r="992" spans="1:29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</row>
    <row r="993" spans="1:29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</row>
    <row r="994" spans="1:29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</row>
    <row r="995" spans="1:29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</row>
    <row r="996" spans="1:29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</row>
    <row r="997" spans="1:29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</row>
    <row r="998" spans="1:29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</row>
    <row r="999" spans="1:2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</row>
  </sheetData>
  <mergeCells count="21">
    <mergeCell ref="B1:J1"/>
    <mergeCell ref="B10:R11"/>
    <mergeCell ref="M13:M14"/>
    <mergeCell ref="E12:E14"/>
    <mergeCell ref="G12:G14"/>
    <mergeCell ref="H13:H14"/>
    <mergeCell ref="N13:N14"/>
    <mergeCell ref="P13:P14"/>
    <mergeCell ref="B12:B14"/>
    <mergeCell ref="I13:I14"/>
    <mergeCell ref="K13:K14"/>
    <mergeCell ref="L12:R12"/>
    <mergeCell ref="F12:F14"/>
    <mergeCell ref="O13:O14"/>
    <mergeCell ref="Q13:Q14"/>
    <mergeCell ref="J13:J14"/>
    <mergeCell ref="L13:L14"/>
    <mergeCell ref="C12:C14"/>
    <mergeCell ref="R13:R14"/>
    <mergeCell ref="D12:D14"/>
    <mergeCell ref="H12:K12"/>
  </mergeCells>
  <dataValidations count="2">
    <dataValidation type="list" allowBlank="1" showErrorMessage="1" sqref="K15:K18">
      <formula1>"To do,In progress,Review,Done"</formula1>
    </dataValidation>
    <dataValidation type="list" allowBlank="1" showErrorMessage="1" sqref="R15:R18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31" sqref="B31"/>
    </sheetView>
  </sheetViews>
  <sheetFormatPr defaultColWidth="12.5703125" defaultRowHeight="15" customHeight="1"/>
  <cols>
    <col min="1" max="1" width="13.85546875" style="83" customWidth="1"/>
    <col min="2" max="2" width="80.7109375" style="83" customWidth="1"/>
    <col min="3" max="3" width="12.5703125" style="83" customWidth="1"/>
    <col min="4" max="4" width="14.7109375" style="83" customWidth="1"/>
    <col min="5" max="6" width="12.5703125" style="83" customWidth="1"/>
  </cols>
  <sheetData>
    <row r="1" spans="1:26" ht="32.25" customHeight="1">
      <c r="A1" s="119" t="s">
        <v>55</v>
      </c>
      <c r="B1" s="95"/>
      <c r="C1" s="95"/>
      <c r="D1" s="95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 customHeight="1">
      <c r="A2" s="122"/>
      <c r="B2" s="95"/>
      <c r="C2" s="95"/>
      <c r="D2" s="95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>
      <c r="A3" s="120" t="s">
        <v>56</v>
      </c>
      <c r="B3" s="121"/>
      <c r="C3" s="121"/>
      <c r="D3" s="121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>
      <c r="A4" s="55" t="s">
        <v>57</v>
      </c>
      <c r="B4" s="56" t="s">
        <v>58</v>
      </c>
      <c r="C4" s="57" t="s">
        <v>18</v>
      </c>
      <c r="D4" s="58" t="s">
        <v>59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8" customHeight="1">
      <c r="A5" s="59">
        <f>Overview!E19</f>
        <v>46153</v>
      </c>
      <c r="B5" s="60" t="s">
        <v>60</v>
      </c>
      <c r="C5" s="61">
        <v>0.1</v>
      </c>
      <c r="D5" s="61" t="str">
        <f>Overview!E17</f>
        <v>Ngan.vu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>
      <c r="A6" s="62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>
      <c r="A7" s="62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>
      <c r="A8" s="62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>
      <c r="A9" s="62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>
      <c r="A10" s="6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>
      <c r="A11" s="62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>
      <c r="A12" s="62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62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62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62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>
      <c r="A17" s="62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2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2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2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62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62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62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62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62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62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62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62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62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2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62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62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62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62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62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62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62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62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62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62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62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62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62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62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62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62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2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62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62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62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62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62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62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62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62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62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62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62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62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62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62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62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62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62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62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62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62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62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62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62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62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62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62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2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62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62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62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62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62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62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62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62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62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62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62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62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62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62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62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62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62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62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62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62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62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62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62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62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62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62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62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62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62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62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62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62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62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62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62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62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62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62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62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62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62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62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62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62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62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62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62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62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62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62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62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62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62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62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62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62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62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62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62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62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62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62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62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62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62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62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62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62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62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62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62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62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62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62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62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62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62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62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62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62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62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62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62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62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62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62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62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62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62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62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62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62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62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62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62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62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62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62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62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62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62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62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62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62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62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62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62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62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62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62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62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62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62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62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62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62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62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62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62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62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62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62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62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62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62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75"/>
  <sheetViews>
    <sheetView tabSelected="1" topLeftCell="A101" zoomScale="115" zoomScaleNormal="115" workbookViewId="0">
      <selection activeCell="B136" sqref="B136"/>
    </sheetView>
  </sheetViews>
  <sheetFormatPr defaultColWidth="12.5703125" defaultRowHeight="15" customHeight="1"/>
  <cols>
    <col min="1" max="1" width="14.28515625" style="83" customWidth="1"/>
    <col min="2" max="2" width="39" style="83" customWidth="1"/>
    <col min="3" max="3" width="37.42578125" style="83" customWidth="1"/>
    <col min="4" max="4" width="50.42578125" style="83" customWidth="1"/>
    <col min="5" max="5" width="48.5703125" style="83" customWidth="1"/>
    <col min="6" max="7" width="16" style="83" customWidth="1"/>
    <col min="11" max="11" width="16" style="83" customWidth="1"/>
    <col min="15" max="15" width="16" style="83" customWidth="1"/>
    <col min="17" max="17" width="16" style="83" customWidth="1"/>
  </cols>
  <sheetData>
    <row r="1" spans="1:18" ht="15.75" customHeight="1">
      <c r="A1" s="48" t="s">
        <v>61</v>
      </c>
      <c r="B1" s="123" t="s">
        <v>62</v>
      </c>
      <c r="C1" s="124"/>
      <c r="D1" s="123" t="s">
        <v>63</v>
      </c>
      <c r="E1" s="121"/>
      <c r="F1" s="124"/>
      <c r="G1" s="134" t="s">
        <v>64</v>
      </c>
      <c r="H1" s="134" t="s">
        <v>65</v>
      </c>
      <c r="I1" s="49" t="s">
        <v>24</v>
      </c>
      <c r="J1" s="50" t="e">
        <f>COUNTIF(#REF!,"Pass")+COUNTIF(#REF!,"Pass")</f>
        <v>#REF!</v>
      </c>
      <c r="K1" s="134" t="s">
        <v>66</v>
      </c>
      <c r="L1" s="49" t="s">
        <v>24</v>
      </c>
      <c r="M1" s="50" t="e">
        <f>COUNTIF(#REF!,"Pass")+COUNTIF(#REF!,"Pass")</f>
        <v>#REF!</v>
      </c>
      <c r="N1" s="129" t="s">
        <v>67</v>
      </c>
      <c r="O1" s="139" t="e">
        <f>SUM(J1:J4)+SUM(M1:M4)</f>
        <v>#REF!</v>
      </c>
      <c r="P1" s="129" t="s">
        <v>68</v>
      </c>
      <c r="Q1" s="139">
        <f>COUNTA(#REF!)+COUNTA(#REF!)</f>
        <v>2</v>
      </c>
      <c r="R1" s="51"/>
    </row>
    <row r="2" spans="1:18" ht="15.75" customHeight="1">
      <c r="A2" s="48" t="s">
        <v>69</v>
      </c>
      <c r="B2" s="123"/>
      <c r="C2" s="124"/>
      <c r="D2" s="123"/>
      <c r="E2" s="121"/>
      <c r="F2" s="124"/>
      <c r="G2" s="130"/>
      <c r="H2" s="130"/>
      <c r="I2" s="49" t="s">
        <v>25</v>
      </c>
      <c r="J2" s="50" t="e">
        <f>COUNTIF(#REF!,"Fail")-COUNTIF(#REF!,"Pass")</f>
        <v>#REF!</v>
      </c>
      <c r="K2" s="130"/>
      <c r="L2" s="49" t="s">
        <v>25</v>
      </c>
      <c r="M2" s="50" t="e">
        <f>COUNTIF(#REF!,"Fail")-COUNTIF(#REF!,"OK")</f>
        <v>#REF!</v>
      </c>
      <c r="N2" s="130"/>
      <c r="O2" s="130"/>
      <c r="P2" s="130"/>
      <c r="Q2" s="130"/>
      <c r="R2" s="51"/>
    </row>
    <row r="3" spans="1:18" ht="15.75" customHeight="1">
      <c r="A3" s="48" t="s">
        <v>36</v>
      </c>
      <c r="B3" s="123"/>
      <c r="C3" s="124"/>
      <c r="D3" s="123" t="s">
        <v>70</v>
      </c>
      <c r="E3" s="121"/>
      <c r="F3" s="124"/>
      <c r="G3" s="130"/>
      <c r="H3" s="130"/>
      <c r="I3" s="49" t="s">
        <v>28</v>
      </c>
      <c r="J3" s="50" t="e">
        <f>COUNTIF(#REF!,"Untested")</f>
        <v>#REF!</v>
      </c>
      <c r="K3" s="130"/>
      <c r="L3" s="49" t="s">
        <v>28</v>
      </c>
      <c r="M3" s="50" t="e">
        <f>COUNTIF(#REF!,"Untested")</f>
        <v>#REF!</v>
      </c>
      <c r="N3" s="130"/>
      <c r="O3" s="130"/>
      <c r="P3" s="130"/>
      <c r="Q3" s="130"/>
      <c r="R3" s="51"/>
    </row>
    <row r="4" spans="1:18" ht="15.75" customHeight="1">
      <c r="A4" s="48" t="s">
        <v>71</v>
      </c>
      <c r="B4" s="123" t="str">
        <f>Overview!E17</f>
        <v>Ngan.vu</v>
      </c>
      <c r="C4" s="124"/>
      <c r="D4" s="136">
        <f>Overview!E19</f>
        <v>46153</v>
      </c>
      <c r="E4" s="121"/>
      <c r="F4" s="124"/>
      <c r="G4" s="130"/>
      <c r="H4" s="130"/>
      <c r="I4" s="49" t="s">
        <v>27</v>
      </c>
      <c r="J4" s="50" t="e">
        <f>COUNTIF(#REF!,"N/A")</f>
        <v>#REF!</v>
      </c>
      <c r="K4" s="130"/>
      <c r="L4" s="49" t="s">
        <v>27</v>
      </c>
      <c r="M4" s="50" t="e">
        <f>COUNTIF(#REF!,"N/A")</f>
        <v>#REF!</v>
      </c>
      <c r="N4" s="130"/>
      <c r="O4" s="130"/>
      <c r="P4" s="130"/>
      <c r="Q4" s="130"/>
      <c r="R4" s="51"/>
    </row>
    <row r="5" spans="1:18" ht="15.75" customHeight="1">
      <c r="A5" s="48" t="s">
        <v>72</v>
      </c>
      <c r="B5" s="123"/>
      <c r="C5" s="124"/>
      <c r="D5" s="136"/>
      <c r="E5" s="121"/>
      <c r="F5" s="124"/>
      <c r="G5" s="131"/>
      <c r="H5" s="131"/>
      <c r="I5" s="49" t="s">
        <v>26</v>
      </c>
      <c r="J5" s="50" t="e">
        <f>COUNTIF(#REF!,"Pending")</f>
        <v>#REF!</v>
      </c>
      <c r="K5" s="131"/>
      <c r="L5" s="49" t="s">
        <v>26</v>
      </c>
      <c r="M5" s="50" t="e">
        <f>COUNTIF(#REF!,"Pending")</f>
        <v>#REF!</v>
      </c>
      <c r="N5" s="131"/>
      <c r="O5" s="131"/>
      <c r="P5" s="131"/>
      <c r="Q5" s="131"/>
      <c r="R5" s="51"/>
    </row>
    <row r="6" spans="1:18" ht="15.75" customHeight="1">
      <c r="A6" s="133" t="s">
        <v>73</v>
      </c>
      <c r="B6" s="137" t="s">
        <v>74</v>
      </c>
      <c r="C6" s="137" t="s">
        <v>75</v>
      </c>
      <c r="D6" s="137" t="s">
        <v>76</v>
      </c>
      <c r="E6" s="137" t="s">
        <v>77</v>
      </c>
      <c r="F6" s="133" t="s">
        <v>78</v>
      </c>
      <c r="G6" s="135" t="s">
        <v>79</v>
      </c>
      <c r="H6" s="121"/>
      <c r="I6" s="121"/>
      <c r="J6" s="124"/>
      <c r="K6" s="135" t="s">
        <v>80</v>
      </c>
      <c r="L6" s="121"/>
      <c r="M6" s="121"/>
      <c r="N6" s="124"/>
      <c r="O6" s="132" t="s">
        <v>81</v>
      </c>
      <c r="P6" s="124"/>
      <c r="Q6" s="132" t="s">
        <v>82</v>
      </c>
      <c r="R6" s="124"/>
    </row>
    <row r="7" spans="1:18" ht="15.75" customHeight="1">
      <c r="A7" s="131"/>
      <c r="B7" s="131"/>
      <c r="C7" s="131"/>
      <c r="D7" s="131"/>
      <c r="E7" s="131"/>
      <c r="F7" s="131"/>
      <c r="G7" s="52" t="s">
        <v>83</v>
      </c>
      <c r="H7" s="53" t="s">
        <v>43</v>
      </c>
      <c r="I7" s="53" t="s">
        <v>84</v>
      </c>
      <c r="J7" s="53" t="s">
        <v>85</v>
      </c>
      <c r="K7" s="52" t="s">
        <v>83</v>
      </c>
      <c r="L7" s="53" t="s">
        <v>43</v>
      </c>
      <c r="M7" s="53" t="s">
        <v>84</v>
      </c>
      <c r="N7" s="53" t="s">
        <v>85</v>
      </c>
      <c r="O7" s="87" t="s">
        <v>83</v>
      </c>
      <c r="P7" s="87" t="s">
        <v>43</v>
      </c>
      <c r="Q7" s="87" t="s">
        <v>83</v>
      </c>
      <c r="R7" s="87" t="s">
        <v>43</v>
      </c>
    </row>
    <row r="8" spans="1:18" ht="12.75" customHeight="1">
      <c r="A8" s="138" t="s">
        <v>86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7"/>
    </row>
    <row r="9" spans="1:18" ht="12.75" customHeight="1">
      <c r="A9" s="128" t="s">
        <v>87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7"/>
    </row>
    <row r="10" spans="1:18" ht="75" customHeight="1">
      <c r="A10" s="91" t="s">
        <v>88</v>
      </c>
      <c r="B10" s="92" t="s">
        <v>89</v>
      </c>
      <c r="C10" s="92" t="s">
        <v>90</v>
      </c>
      <c r="D10" s="92" t="s">
        <v>91</v>
      </c>
      <c r="E10" s="92" t="s">
        <v>92</v>
      </c>
      <c r="F10" s="92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</row>
    <row r="11" spans="1:18" ht="75" customHeight="1">
      <c r="A11" s="91" t="s">
        <v>93</v>
      </c>
      <c r="B11" s="92" t="s">
        <v>94</v>
      </c>
      <c r="C11" s="92" t="s">
        <v>95</v>
      </c>
      <c r="D11" s="92" t="s">
        <v>96</v>
      </c>
      <c r="E11" s="92" t="s">
        <v>97</v>
      </c>
      <c r="F11" s="92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</row>
    <row r="12" spans="1:18" ht="135" customHeight="1">
      <c r="A12" s="91" t="s">
        <v>98</v>
      </c>
      <c r="B12" s="92" t="s">
        <v>99</v>
      </c>
      <c r="C12" s="92" t="s">
        <v>95</v>
      </c>
      <c r="D12" s="92" t="s">
        <v>100</v>
      </c>
      <c r="E12" s="92" t="s">
        <v>101</v>
      </c>
      <c r="F12" s="92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 spans="1:18" ht="90" customHeight="1">
      <c r="A13" s="91" t="s">
        <v>102</v>
      </c>
      <c r="B13" s="92" t="s">
        <v>103</v>
      </c>
      <c r="C13" s="92" t="s">
        <v>104</v>
      </c>
      <c r="D13" s="92" t="s">
        <v>105</v>
      </c>
      <c r="E13" s="92" t="s">
        <v>106</v>
      </c>
      <c r="F13" s="92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</row>
    <row r="14" spans="1:18" ht="45" customHeight="1">
      <c r="A14" s="91" t="s">
        <v>107</v>
      </c>
      <c r="B14" s="92" t="s">
        <v>108</v>
      </c>
      <c r="C14" s="92" t="s">
        <v>109</v>
      </c>
      <c r="D14" s="92" t="s">
        <v>105</v>
      </c>
      <c r="E14" s="92" t="s">
        <v>110</v>
      </c>
      <c r="F14" s="92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</row>
    <row r="15" spans="1:18" ht="45" customHeight="1">
      <c r="A15" s="91" t="s">
        <v>111</v>
      </c>
      <c r="B15" s="92" t="s">
        <v>112</v>
      </c>
      <c r="C15" s="92" t="s">
        <v>113</v>
      </c>
      <c r="D15" s="92" t="s">
        <v>105</v>
      </c>
      <c r="E15" s="92" t="s">
        <v>114</v>
      </c>
      <c r="F15" s="92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</row>
    <row r="16" spans="1:18" ht="90" customHeight="1">
      <c r="A16" s="91" t="s">
        <v>115</v>
      </c>
      <c r="B16" s="92" t="s">
        <v>116</v>
      </c>
      <c r="C16" s="92" t="s">
        <v>117</v>
      </c>
      <c r="D16" s="92" t="s">
        <v>118</v>
      </c>
      <c r="E16" s="92" t="s">
        <v>119</v>
      </c>
      <c r="F16" s="92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</row>
    <row r="17" spans="1:17" ht="45" customHeight="1">
      <c r="A17" s="91" t="s">
        <v>120</v>
      </c>
      <c r="B17" s="92" t="s">
        <v>121</v>
      </c>
      <c r="C17" s="92" t="s">
        <v>122</v>
      </c>
      <c r="D17" s="92" t="s">
        <v>123</v>
      </c>
      <c r="E17" s="92" t="s">
        <v>124</v>
      </c>
      <c r="F17" s="92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</row>
    <row r="18" spans="1:17" ht="45" customHeight="1">
      <c r="A18" s="91" t="s">
        <v>125</v>
      </c>
      <c r="B18" s="92" t="s">
        <v>126</v>
      </c>
      <c r="C18" s="92" t="s">
        <v>127</v>
      </c>
      <c r="D18" s="92" t="s">
        <v>128</v>
      </c>
      <c r="E18" s="92" t="s">
        <v>129</v>
      </c>
      <c r="F18" s="92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</row>
    <row r="19" spans="1:17" ht="45" customHeight="1">
      <c r="A19" s="91" t="s">
        <v>130</v>
      </c>
      <c r="B19" s="92" t="s">
        <v>131</v>
      </c>
      <c r="C19" s="92" t="s">
        <v>132</v>
      </c>
      <c r="D19" s="92" t="s">
        <v>133</v>
      </c>
      <c r="E19" s="92" t="s">
        <v>134</v>
      </c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</row>
    <row r="20" spans="1:17" ht="30" customHeight="1">
      <c r="A20" s="91" t="s">
        <v>135</v>
      </c>
      <c r="B20" s="92" t="s">
        <v>136</v>
      </c>
      <c r="C20" s="92" t="s">
        <v>137</v>
      </c>
      <c r="D20" s="92" t="s">
        <v>133</v>
      </c>
      <c r="E20" s="92" t="s">
        <v>138</v>
      </c>
      <c r="F20" s="92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</row>
    <row r="21" spans="1:17" ht="19.5" customHeight="1">
      <c r="A21" s="128" t="s">
        <v>139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</row>
    <row r="22" spans="1:17" ht="45" customHeight="1">
      <c r="A22" s="91" t="s">
        <v>140</v>
      </c>
      <c r="B22" s="92" t="s">
        <v>141</v>
      </c>
      <c r="C22" s="92" t="s">
        <v>132</v>
      </c>
      <c r="D22" s="92" t="s">
        <v>142</v>
      </c>
      <c r="E22" s="92" t="s">
        <v>143</v>
      </c>
      <c r="F22" s="92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</row>
    <row r="23" spans="1:17" ht="45" customHeight="1">
      <c r="A23" s="91" t="s">
        <v>144</v>
      </c>
      <c r="B23" s="92" t="s">
        <v>145</v>
      </c>
      <c r="C23" s="92" t="s">
        <v>95</v>
      </c>
      <c r="D23" s="92" t="s">
        <v>146</v>
      </c>
      <c r="E23" s="92" t="s">
        <v>147</v>
      </c>
      <c r="F23" s="92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</row>
    <row r="24" spans="1:17" ht="45" customHeight="1">
      <c r="A24" s="91" t="s">
        <v>148</v>
      </c>
      <c r="B24" s="92" t="s">
        <v>149</v>
      </c>
      <c r="C24" s="92" t="s">
        <v>95</v>
      </c>
      <c r="D24" s="92" t="s">
        <v>150</v>
      </c>
      <c r="E24" s="92" t="s">
        <v>151</v>
      </c>
      <c r="F24" s="92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</row>
    <row r="25" spans="1:17" ht="45" customHeight="1">
      <c r="A25" s="91" t="s">
        <v>152</v>
      </c>
      <c r="B25" s="92" t="s">
        <v>153</v>
      </c>
      <c r="C25" s="92" t="s">
        <v>154</v>
      </c>
      <c r="D25" s="92" t="s">
        <v>155</v>
      </c>
      <c r="E25" s="92" t="s">
        <v>156</v>
      </c>
      <c r="F25" s="92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</row>
    <row r="26" spans="1:17" ht="90" customHeight="1">
      <c r="A26" s="91" t="s">
        <v>157</v>
      </c>
      <c r="B26" s="92" t="s">
        <v>158</v>
      </c>
      <c r="C26" s="92" t="s">
        <v>159</v>
      </c>
      <c r="D26" s="92" t="s">
        <v>160</v>
      </c>
      <c r="E26" s="92" t="s">
        <v>161</v>
      </c>
      <c r="F26" s="92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</row>
    <row r="27" spans="1:17" ht="91.5" customHeight="1">
      <c r="A27" s="91" t="s">
        <v>162</v>
      </c>
      <c r="B27" s="92" t="s">
        <v>163</v>
      </c>
      <c r="C27" s="92" t="s">
        <v>164</v>
      </c>
      <c r="D27" s="92" t="s">
        <v>165</v>
      </c>
      <c r="E27" s="92" t="s">
        <v>166</v>
      </c>
      <c r="F27" s="92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</row>
    <row r="28" spans="1:17" ht="75" customHeight="1">
      <c r="A28" s="91" t="s">
        <v>167</v>
      </c>
      <c r="B28" s="92" t="s">
        <v>168</v>
      </c>
      <c r="C28" s="92" t="s">
        <v>169</v>
      </c>
      <c r="D28" s="92" t="s">
        <v>170</v>
      </c>
      <c r="E28" s="92" t="s">
        <v>171</v>
      </c>
      <c r="F28" s="92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spans="1:17" ht="75" customHeight="1">
      <c r="A29" s="91" t="s">
        <v>172</v>
      </c>
      <c r="B29" s="92" t="s">
        <v>173</v>
      </c>
      <c r="C29" s="92" t="s">
        <v>174</v>
      </c>
      <c r="D29" s="92" t="s">
        <v>175</v>
      </c>
      <c r="E29" s="92" t="s">
        <v>176</v>
      </c>
      <c r="F29" s="92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</row>
    <row r="30" spans="1:17" ht="76.5" customHeight="1">
      <c r="A30" s="91" t="s">
        <v>177</v>
      </c>
      <c r="B30" s="92" t="s">
        <v>178</v>
      </c>
      <c r="C30" s="92" t="s">
        <v>179</v>
      </c>
      <c r="D30" s="92" t="s">
        <v>180</v>
      </c>
      <c r="E30" s="92" t="s">
        <v>181</v>
      </c>
      <c r="F30" s="92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</row>
    <row r="31" spans="1:17" ht="35.25" customHeight="1">
      <c r="A31" s="91" t="s">
        <v>182</v>
      </c>
      <c r="B31" s="92" t="s">
        <v>183</v>
      </c>
      <c r="C31" s="92" t="s">
        <v>184</v>
      </c>
      <c r="D31" s="92" t="s">
        <v>185</v>
      </c>
      <c r="E31" s="92" t="s">
        <v>186</v>
      </c>
      <c r="F31" s="92" t="s">
        <v>187</v>
      </c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</row>
    <row r="32" spans="1:17" ht="45" customHeight="1">
      <c r="A32" s="91" t="s">
        <v>188</v>
      </c>
      <c r="B32" s="92" t="s">
        <v>189</v>
      </c>
      <c r="C32" s="92" t="s">
        <v>190</v>
      </c>
      <c r="D32" s="92" t="s">
        <v>191</v>
      </c>
      <c r="E32" s="92" t="s">
        <v>192</v>
      </c>
      <c r="F32" s="92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</row>
    <row r="33" spans="1:17" ht="125.25" customHeight="1">
      <c r="A33" s="91" t="s">
        <v>193</v>
      </c>
      <c r="B33" s="92" t="s">
        <v>194</v>
      </c>
      <c r="C33" s="92" t="s">
        <v>195</v>
      </c>
      <c r="D33" s="92" t="s">
        <v>196</v>
      </c>
      <c r="E33" s="92" t="s">
        <v>197</v>
      </c>
      <c r="F33" s="92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</row>
    <row r="34" spans="1:17" ht="30" customHeight="1">
      <c r="A34" s="91" t="s">
        <v>198</v>
      </c>
      <c r="B34" s="92" t="s">
        <v>199</v>
      </c>
      <c r="C34" s="92" t="s">
        <v>200</v>
      </c>
      <c r="D34" s="92" t="s">
        <v>201</v>
      </c>
      <c r="E34" s="92" t="s">
        <v>202</v>
      </c>
      <c r="F34" s="92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</row>
    <row r="35" spans="1:17" ht="45" customHeight="1">
      <c r="A35" s="91" t="s">
        <v>203</v>
      </c>
      <c r="B35" s="92" t="s">
        <v>204</v>
      </c>
      <c r="C35" s="92" t="s">
        <v>205</v>
      </c>
      <c r="D35" s="92" t="s">
        <v>206</v>
      </c>
      <c r="E35" s="92" t="s">
        <v>207</v>
      </c>
      <c r="F35" s="9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</row>
    <row r="36" spans="1:17" ht="30" customHeight="1">
      <c r="A36" s="91" t="s">
        <v>208</v>
      </c>
      <c r="B36" s="92" t="s">
        <v>209</v>
      </c>
      <c r="C36" s="92" t="s">
        <v>210</v>
      </c>
      <c r="D36" s="92" t="s">
        <v>211</v>
      </c>
      <c r="E36" s="92" t="s">
        <v>212</v>
      </c>
      <c r="F36" s="92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</row>
    <row r="37" spans="1:17" ht="45" customHeight="1">
      <c r="A37" s="91" t="s">
        <v>213</v>
      </c>
      <c r="B37" s="92" t="s">
        <v>214</v>
      </c>
      <c r="C37" s="92" t="s">
        <v>195</v>
      </c>
      <c r="D37" s="92" t="s">
        <v>215</v>
      </c>
      <c r="E37" s="92" t="s">
        <v>216</v>
      </c>
      <c r="F37" s="92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</row>
    <row r="38" spans="1:17" ht="50.25" customHeight="1">
      <c r="A38" s="91" t="s">
        <v>217</v>
      </c>
      <c r="B38" s="92" t="s">
        <v>218</v>
      </c>
      <c r="C38" s="92" t="s">
        <v>195</v>
      </c>
      <c r="D38" s="92" t="s">
        <v>219</v>
      </c>
      <c r="E38" s="92" t="s">
        <v>220</v>
      </c>
      <c r="F38" s="92" t="s">
        <v>187</v>
      </c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</row>
    <row r="39" spans="1:17" ht="143.25" customHeight="1">
      <c r="A39" s="91" t="s">
        <v>221</v>
      </c>
      <c r="B39" s="92" t="s">
        <v>222</v>
      </c>
      <c r="C39" s="92" t="s">
        <v>223</v>
      </c>
      <c r="D39" s="92" t="s">
        <v>224</v>
      </c>
      <c r="E39" s="92" t="s">
        <v>225</v>
      </c>
      <c r="F39" s="92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</row>
    <row r="40" spans="1:17" ht="30" customHeight="1">
      <c r="A40" s="91" t="s">
        <v>226</v>
      </c>
      <c r="B40" s="92" t="s">
        <v>227</v>
      </c>
      <c r="C40" s="92" t="s">
        <v>228</v>
      </c>
      <c r="D40" s="92" t="s">
        <v>229</v>
      </c>
      <c r="E40" s="92" t="s">
        <v>202</v>
      </c>
      <c r="F40" s="92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</row>
    <row r="41" spans="1:17" ht="30" customHeight="1">
      <c r="A41" s="91" t="s">
        <v>230</v>
      </c>
      <c r="B41" s="92" t="s">
        <v>231</v>
      </c>
      <c r="C41" s="92" t="s">
        <v>232</v>
      </c>
      <c r="D41" s="92" t="s">
        <v>233</v>
      </c>
      <c r="E41" s="92" t="s">
        <v>207</v>
      </c>
      <c r="F41" s="92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</row>
    <row r="42" spans="1:17" ht="45" customHeight="1">
      <c r="A42" s="91" t="s">
        <v>234</v>
      </c>
      <c r="B42" s="92" t="s">
        <v>235</v>
      </c>
      <c r="C42" s="92" t="s">
        <v>236</v>
      </c>
      <c r="D42" s="92" t="s">
        <v>237</v>
      </c>
      <c r="E42" s="92" t="s">
        <v>238</v>
      </c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</row>
    <row r="43" spans="1:17" ht="30" customHeight="1">
      <c r="A43" s="91" t="s">
        <v>239</v>
      </c>
      <c r="B43" s="92" t="s">
        <v>240</v>
      </c>
      <c r="C43" s="92" t="s">
        <v>241</v>
      </c>
      <c r="D43" s="92" t="s">
        <v>242</v>
      </c>
      <c r="E43" s="92" t="s">
        <v>243</v>
      </c>
      <c r="F43" s="92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</row>
    <row r="44" spans="1:17" ht="30" customHeight="1">
      <c r="A44" s="91" t="s">
        <v>244</v>
      </c>
      <c r="B44" s="92" t="s">
        <v>245</v>
      </c>
      <c r="C44" s="92" t="s">
        <v>246</v>
      </c>
      <c r="D44" s="92" t="s">
        <v>247</v>
      </c>
      <c r="E44" s="92" t="s">
        <v>248</v>
      </c>
      <c r="F44" s="92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</row>
    <row r="45" spans="1:17" ht="30" customHeight="1">
      <c r="A45" s="91" t="s">
        <v>249</v>
      </c>
      <c r="B45" s="92" t="s">
        <v>250</v>
      </c>
      <c r="C45" s="92" t="s">
        <v>251</v>
      </c>
      <c r="D45" s="92" t="s">
        <v>252</v>
      </c>
      <c r="E45" s="92" t="s">
        <v>216</v>
      </c>
      <c r="F45" s="92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</row>
    <row r="46" spans="1:17" ht="45" customHeight="1">
      <c r="A46" s="91" t="s">
        <v>253</v>
      </c>
      <c r="B46" s="92" t="s">
        <v>254</v>
      </c>
      <c r="C46" s="92" t="s">
        <v>251</v>
      </c>
      <c r="D46" s="92" t="s">
        <v>255</v>
      </c>
      <c r="E46" s="92" t="s">
        <v>220</v>
      </c>
      <c r="F46" s="92" t="s">
        <v>187</v>
      </c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</row>
    <row r="47" spans="1:17" ht="45" customHeight="1">
      <c r="A47" s="91" t="s">
        <v>256</v>
      </c>
      <c r="B47" s="92" t="s">
        <v>257</v>
      </c>
      <c r="C47" s="92" t="s">
        <v>195</v>
      </c>
      <c r="D47" s="92" t="s">
        <v>258</v>
      </c>
      <c r="E47" s="92" t="s">
        <v>259</v>
      </c>
      <c r="F47" s="92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</row>
    <row r="48" spans="1:17" ht="30" customHeight="1">
      <c r="A48" s="91" t="s">
        <v>260</v>
      </c>
      <c r="B48" s="92" t="s">
        <v>261</v>
      </c>
      <c r="C48" s="92" t="s">
        <v>262</v>
      </c>
      <c r="D48" s="92" t="s">
        <v>263</v>
      </c>
      <c r="E48" s="92" t="s">
        <v>264</v>
      </c>
      <c r="F48" s="92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</row>
    <row r="49" spans="1:17" ht="99" customHeight="1">
      <c r="A49" s="91" t="s">
        <v>265</v>
      </c>
      <c r="B49" s="92" t="s">
        <v>266</v>
      </c>
      <c r="C49" s="92" t="s">
        <v>267</v>
      </c>
      <c r="D49" s="92" t="s">
        <v>118</v>
      </c>
      <c r="E49" s="92" t="s">
        <v>268</v>
      </c>
      <c r="F49" s="92" t="s">
        <v>269</v>
      </c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</row>
    <row r="50" spans="1:17" ht="30" customHeight="1">
      <c r="A50" s="91" t="s">
        <v>270</v>
      </c>
      <c r="B50" s="92" t="s">
        <v>271</v>
      </c>
      <c r="C50" s="92" t="s">
        <v>272</v>
      </c>
      <c r="D50" s="92" t="s">
        <v>273</v>
      </c>
      <c r="E50" s="92" t="s">
        <v>274</v>
      </c>
      <c r="F50" s="92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</row>
    <row r="51" spans="1:17" ht="60" customHeight="1">
      <c r="A51" s="91" t="s">
        <v>275</v>
      </c>
      <c r="B51" s="92" t="s">
        <v>276</v>
      </c>
      <c r="C51" s="92" t="s">
        <v>277</v>
      </c>
      <c r="D51" s="92" t="s">
        <v>278</v>
      </c>
      <c r="E51" s="92" t="s">
        <v>279</v>
      </c>
      <c r="F51" s="92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</row>
    <row r="52" spans="1:17" ht="30" customHeight="1">
      <c r="A52" s="91" t="s">
        <v>280</v>
      </c>
      <c r="B52" s="92" t="s">
        <v>281</v>
      </c>
      <c r="C52" s="92" t="s">
        <v>282</v>
      </c>
      <c r="D52" s="92" t="s">
        <v>283</v>
      </c>
      <c r="E52" s="92" t="s">
        <v>284</v>
      </c>
      <c r="F52" s="92" t="s">
        <v>285</v>
      </c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</row>
    <row r="53" spans="1:17" ht="30" customHeight="1">
      <c r="A53" s="91" t="s">
        <v>286</v>
      </c>
      <c r="B53" s="92" t="s">
        <v>287</v>
      </c>
      <c r="C53" s="92" t="s">
        <v>184</v>
      </c>
      <c r="D53" s="92" t="s">
        <v>288</v>
      </c>
      <c r="E53" s="92" t="s">
        <v>289</v>
      </c>
      <c r="F53" s="92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</row>
    <row r="54" spans="1:17" ht="43.5" customHeight="1">
      <c r="A54" s="91" t="s">
        <v>290</v>
      </c>
      <c r="B54" s="92" t="s">
        <v>291</v>
      </c>
      <c r="C54" s="92" t="s">
        <v>292</v>
      </c>
      <c r="D54" s="92" t="s">
        <v>288</v>
      </c>
      <c r="E54" s="92" t="s">
        <v>293</v>
      </c>
      <c r="F54" s="92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</row>
    <row r="55" spans="1:17" ht="45" customHeight="1">
      <c r="A55" s="91" t="s">
        <v>294</v>
      </c>
      <c r="B55" s="92" t="s">
        <v>295</v>
      </c>
      <c r="C55" s="92" t="s">
        <v>184</v>
      </c>
      <c r="D55" s="92" t="s">
        <v>296</v>
      </c>
      <c r="E55" s="92" t="s">
        <v>297</v>
      </c>
      <c r="F55" s="92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</row>
    <row r="56" spans="1:17" ht="48.75" customHeight="1">
      <c r="A56" s="91" t="s">
        <v>298</v>
      </c>
      <c r="B56" s="92" t="s">
        <v>299</v>
      </c>
      <c r="C56" s="92" t="s">
        <v>300</v>
      </c>
      <c r="D56" s="92" t="s">
        <v>301</v>
      </c>
      <c r="E56" s="92" t="s">
        <v>302</v>
      </c>
      <c r="F56" s="92" t="s">
        <v>269</v>
      </c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</row>
    <row r="57" spans="1:17" ht="86.25" customHeight="1">
      <c r="A57" s="91" t="s">
        <v>303</v>
      </c>
      <c r="B57" s="92" t="s">
        <v>304</v>
      </c>
      <c r="C57" s="92" t="s">
        <v>305</v>
      </c>
      <c r="D57" s="92" t="s">
        <v>306</v>
      </c>
      <c r="E57" s="92" t="s">
        <v>307</v>
      </c>
      <c r="F57" s="92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</row>
    <row r="58" spans="1:17" ht="39" customHeight="1">
      <c r="A58" s="91" t="s">
        <v>308</v>
      </c>
      <c r="B58" s="92" t="s">
        <v>309</v>
      </c>
      <c r="C58" s="92" t="s">
        <v>310</v>
      </c>
      <c r="D58" s="92" t="s">
        <v>311</v>
      </c>
      <c r="E58" s="92" t="s">
        <v>312</v>
      </c>
      <c r="F58" s="92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</row>
    <row r="59" spans="1:17" ht="41.25" customHeight="1">
      <c r="A59" s="91" t="s">
        <v>313</v>
      </c>
      <c r="B59" s="92" t="s">
        <v>314</v>
      </c>
      <c r="C59" s="92" t="s">
        <v>315</v>
      </c>
      <c r="D59" s="92" t="s">
        <v>316</v>
      </c>
      <c r="E59" s="92" t="s">
        <v>317</v>
      </c>
      <c r="F59" s="92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</row>
    <row r="60" spans="1:17" ht="60" customHeight="1">
      <c r="A60" s="91" t="s">
        <v>318</v>
      </c>
      <c r="B60" s="92" t="s">
        <v>319</v>
      </c>
      <c r="C60" s="92" t="s">
        <v>320</v>
      </c>
      <c r="D60" s="92" t="s">
        <v>321</v>
      </c>
      <c r="E60" s="92" t="s">
        <v>322</v>
      </c>
      <c r="F60" s="92" t="s">
        <v>285</v>
      </c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</row>
    <row r="61" spans="1:17" ht="66" customHeight="1">
      <c r="A61" s="91" t="s">
        <v>323</v>
      </c>
      <c r="B61" s="92" t="s">
        <v>324</v>
      </c>
      <c r="C61" s="92" t="s">
        <v>325</v>
      </c>
      <c r="D61" s="92" t="s">
        <v>321</v>
      </c>
      <c r="E61" s="92" t="s">
        <v>326</v>
      </c>
      <c r="F61" s="92" t="s">
        <v>285</v>
      </c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</row>
    <row r="62" spans="1:17" ht="54" customHeight="1">
      <c r="A62" s="91" t="s">
        <v>327</v>
      </c>
      <c r="B62" s="92" t="s">
        <v>328</v>
      </c>
      <c r="C62" s="92" t="s">
        <v>329</v>
      </c>
      <c r="D62" s="92" t="s">
        <v>330</v>
      </c>
      <c r="E62" s="92" t="s">
        <v>331</v>
      </c>
      <c r="F62" s="92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</row>
    <row r="63" spans="1:17" ht="51.75" customHeight="1">
      <c r="A63" s="91" t="s">
        <v>332</v>
      </c>
      <c r="B63" s="92" t="s">
        <v>333</v>
      </c>
      <c r="C63" s="92" t="s">
        <v>334</v>
      </c>
      <c r="D63" s="92" t="s">
        <v>335</v>
      </c>
      <c r="E63" s="92" t="s">
        <v>336</v>
      </c>
      <c r="F63" s="92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</row>
    <row r="64" spans="1:17" ht="54.75" customHeight="1">
      <c r="A64" s="91" t="s">
        <v>337</v>
      </c>
      <c r="B64" s="92" t="s">
        <v>338</v>
      </c>
      <c r="C64" s="92" t="s">
        <v>184</v>
      </c>
      <c r="D64" s="92" t="s">
        <v>339</v>
      </c>
      <c r="E64" s="92" t="s">
        <v>340</v>
      </c>
      <c r="F64" s="92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</row>
    <row r="65" spans="1:17" ht="18.75" customHeight="1">
      <c r="A65" s="128" t="s">
        <v>341</v>
      </c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7"/>
    </row>
    <row r="66" spans="1:17" ht="51" customHeight="1">
      <c r="A66" s="125" t="s">
        <v>342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7"/>
    </row>
    <row r="67" spans="1:17" ht="30" customHeight="1">
      <c r="A67" s="91" t="s">
        <v>343</v>
      </c>
      <c r="B67" s="92" t="s">
        <v>344</v>
      </c>
      <c r="C67" s="92" t="s">
        <v>184</v>
      </c>
      <c r="D67" s="92" t="s">
        <v>345</v>
      </c>
      <c r="E67" s="92" t="s">
        <v>346</v>
      </c>
      <c r="F67" s="92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</row>
    <row r="68" spans="1:17" ht="30" customHeight="1">
      <c r="A68" s="91" t="s">
        <v>347</v>
      </c>
      <c r="B68" s="92" t="s">
        <v>348</v>
      </c>
      <c r="C68" s="92" t="s">
        <v>184</v>
      </c>
      <c r="D68" s="92" t="s">
        <v>349</v>
      </c>
      <c r="E68" s="92" t="s">
        <v>350</v>
      </c>
      <c r="F68" s="92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</row>
    <row r="69" spans="1:17" ht="30" customHeight="1">
      <c r="A69" s="91" t="s">
        <v>351</v>
      </c>
      <c r="B69" s="92" t="s">
        <v>352</v>
      </c>
      <c r="C69" s="92" t="s">
        <v>184</v>
      </c>
      <c r="D69" s="92" t="s">
        <v>353</v>
      </c>
      <c r="E69" s="92" t="s">
        <v>354</v>
      </c>
      <c r="F69" s="92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</row>
    <row r="70" spans="1:17" ht="33.75" customHeight="1">
      <c r="A70" s="91" t="s">
        <v>355</v>
      </c>
      <c r="B70" s="92" t="s">
        <v>356</v>
      </c>
      <c r="C70" s="92" t="s">
        <v>184</v>
      </c>
      <c r="D70" s="92" t="s">
        <v>357</v>
      </c>
      <c r="E70" s="92" t="s">
        <v>358</v>
      </c>
      <c r="F70" s="92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</row>
    <row r="71" spans="1:17" ht="44.25" customHeight="1">
      <c r="A71" s="91" t="s">
        <v>359</v>
      </c>
      <c r="B71" s="92" t="s">
        <v>360</v>
      </c>
      <c r="C71" s="92" t="s">
        <v>184</v>
      </c>
      <c r="D71" s="92" t="s">
        <v>361</v>
      </c>
      <c r="E71" s="92" t="s">
        <v>358</v>
      </c>
      <c r="F71" s="92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</row>
    <row r="72" spans="1:17" ht="24.75" customHeight="1">
      <c r="A72" s="91" t="s">
        <v>362</v>
      </c>
      <c r="B72" s="92" t="s">
        <v>363</v>
      </c>
      <c r="C72" s="92" t="s">
        <v>184</v>
      </c>
      <c r="D72" s="92" t="s">
        <v>364</v>
      </c>
      <c r="E72" s="92" t="s">
        <v>365</v>
      </c>
      <c r="F72" s="92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</row>
    <row r="73" spans="1:17" ht="43.5" customHeight="1">
      <c r="A73" s="91" t="s">
        <v>366</v>
      </c>
      <c r="B73" s="92" t="s">
        <v>367</v>
      </c>
      <c r="C73" s="92" t="s">
        <v>184</v>
      </c>
      <c r="D73" s="92" t="s">
        <v>368</v>
      </c>
      <c r="E73" s="92" t="s">
        <v>358</v>
      </c>
      <c r="F73" s="92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</row>
    <row r="74" spans="1:17" ht="30" customHeight="1">
      <c r="A74" s="91" t="s">
        <v>369</v>
      </c>
      <c r="B74" s="92" t="s">
        <v>370</v>
      </c>
      <c r="C74" s="92" t="s">
        <v>184</v>
      </c>
      <c r="D74" s="92" t="s">
        <v>371</v>
      </c>
      <c r="E74" s="92" t="s">
        <v>358</v>
      </c>
      <c r="F74" s="92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</row>
    <row r="75" spans="1:17" ht="46.5" customHeight="1">
      <c r="A75" s="125" t="s">
        <v>372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7"/>
    </row>
    <row r="76" spans="1:17" ht="54.75" customHeight="1">
      <c r="A76" s="91" t="s">
        <v>373</v>
      </c>
      <c r="B76" s="92" t="s">
        <v>374</v>
      </c>
      <c r="C76" s="92" t="s">
        <v>184</v>
      </c>
      <c r="D76" s="92" t="s">
        <v>375</v>
      </c>
      <c r="E76" s="92" t="s">
        <v>376</v>
      </c>
      <c r="F76" s="92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</row>
    <row r="77" spans="1:17" ht="46.5" customHeight="1">
      <c r="A77" s="91" t="s">
        <v>377</v>
      </c>
      <c r="B77" s="92" t="s">
        <v>378</v>
      </c>
      <c r="C77" s="92" t="s">
        <v>184</v>
      </c>
      <c r="D77" s="92" t="s">
        <v>379</v>
      </c>
      <c r="E77" s="92" t="s">
        <v>376</v>
      </c>
      <c r="F77" s="92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</row>
    <row r="78" spans="1:17" ht="47.25" customHeight="1">
      <c r="A78" s="91" t="s">
        <v>380</v>
      </c>
      <c r="B78" s="92" t="s">
        <v>381</v>
      </c>
      <c r="C78" s="92" t="s">
        <v>184</v>
      </c>
      <c r="D78" s="92" t="s">
        <v>382</v>
      </c>
      <c r="E78" s="92" t="s">
        <v>383</v>
      </c>
      <c r="F78" s="92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</row>
    <row r="79" spans="1:17" ht="30" customHeight="1">
      <c r="A79" s="91" t="s">
        <v>384</v>
      </c>
      <c r="B79" s="92" t="s">
        <v>385</v>
      </c>
      <c r="C79" s="92" t="s">
        <v>184</v>
      </c>
      <c r="D79" s="92" t="s">
        <v>386</v>
      </c>
      <c r="E79" s="92" t="s">
        <v>387</v>
      </c>
      <c r="F79" s="92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</row>
    <row r="80" spans="1:17" ht="30" customHeight="1">
      <c r="A80" s="91" t="s">
        <v>388</v>
      </c>
      <c r="B80" s="92" t="s">
        <v>389</v>
      </c>
      <c r="C80" s="92" t="s">
        <v>184</v>
      </c>
      <c r="D80" s="92" t="s">
        <v>390</v>
      </c>
      <c r="E80" s="92" t="s">
        <v>391</v>
      </c>
      <c r="F80" s="92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</row>
    <row r="81" spans="1:17" ht="39.75" customHeight="1">
      <c r="A81" s="91" t="s">
        <v>392</v>
      </c>
      <c r="B81" s="92" t="s">
        <v>393</v>
      </c>
      <c r="C81" s="92" t="s">
        <v>184</v>
      </c>
      <c r="D81" s="92" t="s">
        <v>394</v>
      </c>
      <c r="E81" s="92" t="s">
        <v>395</v>
      </c>
      <c r="F81" s="92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</row>
    <row r="82" spans="1:17" ht="32.25" customHeight="1">
      <c r="A82" s="91" t="s">
        <v>396</v>
      </c>
      <c r="B82" s="92" t="s">
        <v>397</v>
      </c>
      <c r="C82" s="92" t="s">
        <v>184</v>
      </c>
      <c r="D82" s="92" t="s">
        <v>273</v>
      </c>
      <c r="E82" s="92" t="s">
        <v>398</v>
      </c>
      <c r="F82" s="92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</row>
    <row r="83" spans="1:17" ht="19.5" customHeight="1">
      <c r="A83" s="91" t="s">
        <v>399</v>
      </c>
      <c r="B83" s="92" t="s">
        <v>400</v>
      </c>
      <c r="C83" s="92" t="s">
        <v>184</v>
      </c>
      <c r="D83" s="92" t="s">
        <v>401</v>
      </c>
      <c r="E83" s="92" t="s">
        <v>402</v>
      </c>
      <c r="F83" s="92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</row>
    <row r="84" spans="1:17" ht="30" customHeight="1">
      <c r="A84" s="138" t="s">
        <v>403</v>
      </c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7"/>
    </row>
    <row r="85" spans="1:17" ht="60.75" customHeight="1">
      <c r="A85" s="128" t="s">
        <v>87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7"/>
    </row>
    <row r="86" spans="1:17" ht="112.5" customHeight="1">
      <c r="A86" s="91" t="s">
        <v>404</v>
      </c>
      <c r="B86" s="92" t="s">
        <v>405</v>
      </c>
      <c r="C86" s="92" t="s">
        <v>184</v>
      </c>
      <c r="D86" s="92" t="s">
        <v>406</v>
      </c>
      <c r="E86" s="92" t="s">
        <v>407</v>
      </c>
      <c r="F86" s="92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</row>
    <row r="87" spans="1:17" ht="23.25" customHeight="1">
      <c r="A87" s="91" t="s">
        <v>408</v>
      </c>
      <c r="B87" s="92" t="s">
        <v>409</v>
      </c>
      <c r="C87" s="92" t="s">
        <v>184</v>
      </c>
      <c r="D87" s="92" t="s">
        <v>410</v>
      </c>
      <c r="E87" s="92" t="s">
        <v>411</v>
      </c>
      <c r="F87" s="92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</row>
    <row r="88" spans="1:17" ht="45" customHeight="1">
      <c r="A88" s="128" t="s">
        <v>139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7"/>
    </row>
    <row r="89" spans="1:17" ht="45" customHeight="1">
      <c r="A89" s="91" t="s">
        <v>412</v>
      </c>
      <c r="B89" s="92" t="s">
        <v>413</v>
      </c>
      <c r="C89" s="92" t="s">
        <v>414</v>
      </c>
      <c r="D89" s="92" t="s">
        <v>415</v>
      </c>
      <c r="E89" s="92" t="s">
        <v>416</v>
      </c>
      <c r="F89" s="92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</row>
    <row r="90" spans="1:17" ht="30" customHeight="1">
      <c r="A90" s="91" t="s">
        <v>417</v>
      </c>
      <c r="B90" s="92" t="s">
        <v>418</v>
      </c>
      <c r="C90" s="92" t="s">
        <v>419</v>
      </c>
      <c r="D90" s="92" t="s">
        <v>420</v>
      </c>
      <c r="E90" s="92" t="s">
        <v>421</v>
      </c>
      <c r="F90" s="92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</row>
    <row r="91" spans="1:17" ht="31.5" customHeight="1">
      <c r="A91" s="91" t="s">
        <v>422</v>
      </c>
      <c r="B91" s="92" t="s">
        <v>423</v>
      </c>
      <c r="C91" s="92" t="s">
        <v>424</v>
      </c>
      <c r="D91" s="92" t="s">
        <v>425</v>
      </c>
      <c r="E91" s="92" t="s">
        <v>426</v>
      </c>
      <c r="F91" s="92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</row>
    <row r="92" spans="1:17" ht="30" customHeight="1">
      <c r="A92" s="91" t="s">
        <v>427</v>
      </c>
      <c r="B92" s="92" t="s">
        <v>428</v>
      </c>
      <c r="C92" s="92" t="s">
        <v>429</v>
      </c>
      <c r="D92" s="92" t="s">
        <v>430</v>
      </c>
      <c r="E92" s="92" t="s">
        <v>431</v>
      </c>
      <c r="F92" s="92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</row>
    <row r="93" spans="1:17" ht="31.5" customHeight="1">
      <c r="A93" s="91" t="s">
        <v>432</v>
      </c>
      <c r="B93" s="92" t="s">
        <v>433</v>
      </c>
      <c r="C93" s="92" t="s">
        <v>434</v>
      </c>
      <c r="D93" s="92" t="s">
        <v>435</v>
      </c>
      <c r="E93" s="92" t="s">
        <v>436</v>
      </c>
      <c r="F93" s="92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</row>
    <row r="94" spans="1:17" ht="37.5" customHeight="1">
      <c r="A94" s="91" t="s">
        <v>437</v>
      </c>
      <c r="B94" s="92" t="s">
        <v>438</v>
      </c>
      <c r="C94" s="92" t="s">
        <v>434</v>
      </c>
      <c r="D94" s="92" t="s">
        <v>439</v>
      </c>
      <c r="E94" s="92" t="s">
        <v>436</v>
      </c>
      <c r="F94" s="92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</row>
    <row r="95" spans="1:17" ht="84" customHeight="1">
      <c r="A95" s="91" t="s">
        <v>440</v>
      </c>
      <c r="B95" s="92" t="s">
        <v>441</v>
      </c>
      <c r="C95" s="92" t="s">
        <v>442</v>
      </c>
      <c r="D95" s="92" t="s">
        <v>443</v>
      </c>
      <c r="E95" s="92" t="s">
        <v>444</v>
      </c>
      <c r="F95" s="92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</row>
    <row r="96" spans="1:17" ht="97.5" customHeight="1">
      <c r="A96" s="91" t="s">
        <v>445</v>
      </c>
      <c r="B96" s="92" t="s">
        <v>446</v>
      </c>
      <c r="C96" s="92" t="s">
        <v>447</v>
      </c>
      <c r="D96" s="92" t="s">
        <v>448</v>
      </c>
      <c r="E96" s="92" t="s">
        <v>449</v>
      </c>
      <c r="F96" s="92" t="s">
        <v>450</v>
      </c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</row>
    <row r="97" spans="1:17" ht="30" customHeight="1">
      <c r="A97" s="91" t="s">
        <v>451</v>
      </c>
      <c r="B97" s="92" t="s">
        <v>452</v>
      </c>
      <c r="C97" s="92" t="s">
        <v>453</v>
      </c>
      <c r="D97" s="92" t="s">
        <v>454</v>
      </c>
      <c r="E97" s="92" t="s">
        <v>455</v>
      </c>
      <c r="F97" s="92" t="s">
        <v>450</v>
      </c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</row>
    <row r="98" spans="1:17" ht="30" customHeight="1">
      <c r="A98" s="91" t="s">
        <v>456</v>
      </c>
      <c r="B98" s="92" t="s">
        <v>457</v>
      </c>
      <c r="C98" s="92" t="s">
        <v>458</v>
      </c>
      <c r="D98" s="92" t="s">
        <v>459</v>
      </c>
      <c r="E98" s="92" t="s">
        <v>460</v>
      </c>
      <c r="F98" s="92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</row>
    <row r="99" spans="1:17" ht="30" customHeight="1">
      <c r="A99" s="91" t="s">
        <v>461</v>
      </c>
      <c r="B99" s="92" t="s">
        <v>462</v>
      </c>
      <c r="C99" s="92" t="s">
        <v>458</v>
      </c>
      <c r="D99" s="92" t="s">
        <v>463</v>
      </c>
      <c r="E99" s="92" t="s">
        <v>464</v>
      </c>
      <c r="F99" s="92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</row>
    <row r="100" spans="1:17" ht="65.25" customHeight="1">
      <c r="A100" s="91" t="s">
        <v>465</v>
      </c>
      <c r="B100" s="92" t="s">
        <v>466</v>
      </c>
      <c r="C100" s="92" t="s">
        <v>458</v>
      </c>
      <c r="D100" s="92" t="s">
        <v>467</v>
      </c>
      <c r="E100" s="92" t="s">
        <v>468</v>
      </c>
      <c r="F100" s="92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</row>
    <row r="101" spans="1:17" ht="67.5" customHeight="1">
      <c r="A101" s="91" t="s">
        <v>469</v>
      </c>
      <c r="B101" s="92" t="s">
        <v>470</v>
      </c>
      <c r="C101" s="92" t="s">
        <v>471</v>
      </c>
      <c r="D101" s="92" t="s">
        <v>472</v>
      </c>
      <c r="E101" s="92" t="s">
        <v>473</v>
      </c>
      <c r="F101" s="92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</row>
    <row r="102" spans="1:17" ht="30" customHeight="1">
      <c r="A102" s="91" t="s">
        <v>474</v>
      </c>
      <c r="B102" s="92" t="s">
        <v>475</v>
      </c>
      <c r="C102" s="92" t="s">
        <v>476</v>
      </c>
      <c r="D102" s="92" t="s">
        <v>477</v>
      </c>
      <c r="E102" s="92" t="s">
        <v>478</v>
      </c>
      <c r="F102" s="92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</row>
    <row r="103" spans="1:17" ht="48" customHeight="1">
      <c r="A103" s="91" t="s">
        <v>479</v>
      </c>
      <c r="B103" s="92" t="s">
        <v>480</v>
      </c>
      <c r="C103" s="92" t="s">
        <v>458</v>
      </c>
      <c r="D103" s="92" t="s">
        <v>481</v>
      </c>
      <c r="E103" s="92" t="s">
        <v>482</v>
      </c>
      <c r="F103" s="92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</row>
    <row r="104" spans="1:17" ht="53.25" customHeight="1">
      <c r="A104" s="91" t="s">
        <v>483</v>
      </c>
      <c r="B104" s="92" t="s">
        <v>484</v>
      </c>
      <c r="C104" s="92" t="s">
        <v>458</v>
      </c>
      <c r="D104" s="92" t="s">
        <v>485</v>
      </c>
      <c r="E104" s="92" t="s">
        <v>486</v>
      </c>
      <c r="F104" s="92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</row>
    <row r="105" spans="1:17" ht="47.25" customHeight="1">
      <c r="A105" s="91" t="s">
        <v>487</v>
      </c>
      <c r="B105" s="92" t="s">
        <v>488</v>
      </c>
      <c r="C105" s="92" t="s">
        <v>458</v>
      </c>
      <c r="D105" s="92" t="s">
        <v>489</v>
      </c>
      <c r="E105" s="92" t="s">
        <v>490</v>
      </c>
      <c r="F105" s="92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</row>
    <row r="106" spans="1:17" ht="30" customHeight="1">
      <c r="A106" s="91" t="s">
        <v>491</v>
      </c>
      <c r="B106" s="92" t="s">
        <v>492</v>
      </c>
      <c r="C106" s="92" t="s">
        <v>434</v>
      </c>
      <c r="D106" s="92" t="s">
        <v>493</v>
      </c>
      <c r="E106" s="92" t="s">
        <v>494</v>
      </c>
      <c r="F106" s="92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</row>
    <row r="107" spans="1:17" ht="62.25" customHeight="1">
      <c r="A107" s="91" t="s">
        <v>495</v>
      </c>
      <c r="B107" s="92" t="s">
        <v>496</v>
      </c>
      <c r="C107" s="92" t="s">
        <v>434</v>
      </c>
      <c r="D107" s="92" t="s">
        <v>497</v>
      </c>
      <c r="E107" s="92" t="s">
        <v>498</v>
      </c>
      <c r="F107" s="92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</row>
    <row r="108" spans="1:17" ht="30" customHeight="1">
      <c r="A108" s="91" t="s">
        <v>499</v>
      </c>
      <c r="B108" s="92" t="s">
        <v>500</v>
      </c>
      <c r="C108" s="92" t="s">
        <v>434</v>
      </c>
      <c r="D108" s="92" t="s">
        <v>501</v>
      </c>
      <c r="E108" s="92" t="s">
        <v>502</v>
      </c>
      <c r="F108" s="92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</row>
    <row r="109" spans="1:17" ht="45" customHeight="1">
      <c r="A109" s="91" t="s">
        <v>503</v>
      </c>
      <c r="B109" s="92" t="s">
        <v>504</v>
      </c>
      <c r="C109" s="92" t="s">
        <v>505</v>
      </c>
      <c r="D109" s="92" t="s">
        <v>506</v>
      </c>
      <c r="E109" s="92" t="s">
        <v>507</v>
      </c>
      <c r="F109" s="92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</row>
    <row r="110" spans="1:17" ht="45" customHeight="1">
      <c r="A110" s="91" t="s">
        <v>508</v>
      </c>
      <c r="B110" s="92" t="s">
        <v>509</v>
      </c>
      <c r="C110" s="92" t="s">
        <v>510</v>
      </c>
      <c r="D110" s="92" t="s">
        <v>511</v>
      </c>
      <c r="E110" s="92" t="s">
        <v>512</v>
      </c>
      <c r="F110" s="92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</row>
    <row r="111" spans="1:17" ht="34.5" customHeight="1">
      <c r="A111" s="91" t="s">
        <v>513</v>
      </c>
      <c r="B111" s="92" t="s">
        <v>514</v>
      </c>
      <c r="C111" s="92" t="s">
        <v>515</v>
      </c>
      <c r="D111" s="92" t="s">
        <v>516</v>
      </c>
      <c r="E111" s="92" t="s">
        <v>517</v>
      </c>
      <c r="F111" s="92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</row>
    <row r="112" spans="1:17" ht="30" customHeight="1">
      <c r="A112" s="91" t="s">
        <v>518</v>
      </c>
      <c r="B112" s="92" t="s">
        <v>519</v>
      </c>
      <c r="C112" s="92" t="s">
        <v>520</v>
      </c>
      <c r="D112" s="92" t="s">
        <v>521</v>
      </c>
      <c r="E112" s="92" t="s">
        <v>522</v>
      </c>
      <c r="F112" s="92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</row>
    <row r="113" spans="1:17" ht="30" customHeight="1">
      <c r="A113" s="91" t="s">
        <v>523</v>
      </c>
      <c r="B113" s="92" t="s">
        <v>524</v>
      </c>
      <c r="C113" s="92" t="s">
        <v>525</v>
      </c>
      <c r="D113" s="92" t="s">
        <v>526</v>
      </c>
      <c r="E113" s="92" t="s">
        <v>527</v>
      </c>
      <c r="F113" s="92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</row>
    <row r="114" spans="1:17" ht="31.5" customHeight="1">
      <c r="A114" s="128" t="s">
        <v>341</v>
      </c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7"/>
    </row>
    <row r="115" spans="1:17" ht="38.25" customHeight="1">
      <c r="A115" s="125" t="s">
        <v>342</v>
      </c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7"/>
    </row>
    <row r="116" spans="1:17" ht="60" customHeight="1">
      <c r="A116" s="91" t="s">
        <v>528</v>
      </c>
      <c r="B116" s="92" t="s">
        <v>529</v>
      </c>
      <c r="C116" s="92" t="s">
        <v>434</v>
      </c>
      <c r="D116" s="92" t="s">
        <v>530</v>
      </c>
      <c r="E116" s="92" t="s">
        <v>346</v>
      </c>
      <c r="F116" s="92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</row>
    <row r="117" spans="1:17" ht="48" customHeight="1">
      <c r="A117" s="91" t="s">
        <v>531</v>
      </c>
      <c r="B117" s="92" t="s">
        <v>532</v>
      </c>
      <c r="C117" s="92" t="s">
        <v>434</v>
      </c>
      <c r="D117" s="92" t="s">
        <v>533</v>
      </c>
      <c r="E117" s="92" t="s">
        <v>534</v>
      </c>
      <c r="F117" s="92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</row>
    <row r="118" spans="1:17" ht="30" customHeight="1">
      <c r="A118" s="91" t="s">
        <v>535</v>
      </c>
      <c r="B118" s="92" t="s">
        <v>536</v>
      </c>
      <c r="C118" s="92" t="s">
        <v>434</v>
      </c>
      <c r="D118" s="92" t="s">
        <v>537</v>
      </c>
      <c r="E118" s="92" t="s">
        <v>538</v>
      </c>
      <c r="F118" s="92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</row>
    <row r="119" spans="1:17" ht="33.75" customHeight="1">
      <c r="A119" s="91" t="s">
        <v>539</v>
      </c>
      <c r="B119" s="92" t="s">
        <v>540</v>
      </c>
      <c r="C119" s="92" t="s">
        <v>434</v>
      </c>
      <c r="D119" s="92" t="s">
        <v>541</v>
      </c>
      <c r="E119" s="92" t="s">
        <v>542</v>
      </c>
      <c r="F119" s="92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</row>
    <row r="120" spans="1:17" ht="45" customHeight="1">
      <c r="A120" s="91" t="s">
        <v>543</v>
      </c>
      <c r="B120" s="92" t="s">
        <v>544</v>
      </c>
      <c r="C120" s="92" t="s">
        <v>434</v>
      </c>
      <c r="D120" s="92" t="s">
        <v>545</v>
      </c>
      <c r="E120" s="92" t="s">
        <v>542</v>
      </c>
      <c r="F120" s="92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</row>
    <row r="121" spans="1:17" ht="27.75" customHeight="1">
      <c r="A121" s="91" t="s">
        <v>546</v>
      </c>
      <c r="B121" s="92" t="s">
        <v>363</v>
      </c>
      <c r="C121" s="92" t="s">
        <v>434</v>
      </c>
      <c r="D121" s="92" t="s">
        <v>547</v>
      </c>
      <c r="E121" s="92" t="s">
        <v>548</v>
      </c>
      <c r="F121" s="92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</row>
    <row r="122" spans="1:17" ht="45" customHeight="1">
      <c r="A122" s="91" t="s">
        <v>549</v>
      </c>
      <c r="B122" s="92" t="s">
        <v>367</v>
      </c>
      <c r="C122" s="92" t="s">
        <v>434</v>
      </c>
      <c r="D122" s="92" t="s">
        <v>550</v>
      </c>
      <c r="E122" s="92" t="s">
        <v>542</v>
      </c>
      <c r="F122" s="92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</row>
    <row r="123" spans="1:17" ht="18.75" customHeight="1">
      <c r="A123" s="91" t="s">
        <v>551</v>
      </c>
      <c r="B123" s="92" t="s">
        <v>370</v>
      </c>
      <c r="C123" s="92" t="s">
        <v>434</v>
      </c>
      <c r="D123" s="92" t="s">
        <v>552</v>
      </c>
      <c r="E123" s="92" t="s">
        <v>542</v>
      </c>
      <c r="F123" s="92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</row>
    <row r="124" spans="1:17" ht="33" customHeight="1">
      <c r="A124" s="125" t="s">
        <v>372</v>
      </c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7"/>
    </row>
    <row r="125" spans="1:17" ht="75" customHeight="1">
      <c r="A125" s="91" t="s">
        <v>553</v>
      </c>
      <c r="B125" s="92" t="s">
        <v>554</v>
      </c>
      <c r="C125" s="92" t="s">
        <v>434</v>
      </c>
      <c r="D125" s="92" t="s">
        <v>555</v>
      </c>
      <c r="E125" s="92" t="s">
        <v>556</v>
      </c>
      <c r="F125" s="92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</row>
    <row r="126" spans="1:17" ht="60" customHeight="1">
      <c r="A126" s="91" t="s">
        <v>557</v>
      </c>
      <c r="B126" s="92" t="s">
        <v>378</v>
      </c>
      <c r="C126" s="92" t="s">
        <v>434</v>
      </c>
      <c r="D126" s="92" t="s">
        <v>558</v>
      </c>
      <c r="E126" s="92" t="s">
        <v>556</v>
      </c>
      <c r="F126" s="92" t="s">
        <v>559</v>
      </c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</row>
    <row r="127" spans="1:17" ht="45" customHeight="1">
      <c r="A127" s="91" t="s">
        <v>560</v>
      </c>
      <c r="B127" s="92" t="s">
        <v>561</v>
      </c>
      <c r="C127" s="92" t="s">
        <v>434</v>
      </c>
      <c r="D127" s="92" t="s">
        <v>562</v>
      </c>
      <c r="E127" s="92" t="s">
        <v>383</v>
      </c>
      <c r="F127" s="92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</row>
    <row r="128" spans="1:17" ht="45" customHeight="1">
      <c r="A128" s="91" t="s">
        <v>563</v>
      </c>
      <c r="B128" s="92" t="s">
        <v>564</v>
      </c>
      <c r="C128" s="92" t="s">
        <v>434</v>
      </c>
      <c r="D128" s="92" t="s">
        <v>565</v>
      </c>
      <c r="E128" s="92" t="s">
        <v>391</v>
      </c>
      <c r="F128" s="92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</row>
    <row r="129" spans="1:17" ht="30" customHeight="1">
      <c r="A129" s="91" t="s">
        <v>566</v>
      </c>
      <c r="B129" s="92" t="s">
        <v>567</v>
      </c>
      <c r="C129" s="92" t="s">
        <v>434</v>
      </c>
      <c r="D129" s="92" t="s">
        <v>568</v>
      </c>
      <c r="E129" s="92" t="s">
        <v>391</v>
      </c>
      <c r="F129" s="92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</row>
    <row r="130" spans="1:17" ht="60" customHeight="1">
      <c r="A130" s="91" t="s">
        <v>569</v>
      </c>
      <c r="B130" s="92" t="s">
        <v>393</v>
      </c>
      <c r="C130" s="92" t="s">
        <v>434</v>
      </c>
      <c r="D130" s="92" t="s">
        <v>570</v>
      </c>
      <c r="E130" s="92" t="s">
        <v>571</v>
      </c>
      <c r="F130" s="92" t="s">
        <v>27</v>
      </c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</row>
    <row r="131" spans="1:17" ht="60" customHeight="1">
      <c r="A131" s="91" t="s">
        <v>572</v>
      </c>
      <c r="B131" s="92" t="s">
        <v>573</v>
      </c>
      <c r="C131" s="92" t="s">
        <v>434</v>
      </c>
      <c r="D131" s="92" t="s">
        <v>278</v>
      </c>
      <c r="E131" s="92" t="s">
        <v>571</v>
      </c>
      <c r="F131" s="92" t="s">
        <v>27</v>
      </c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</row>
    <row r="132" spans="1:17" ht="30" customHeight="1">
      <c r="A132" s="91" t="s">
        <v>574</v>
      </c>
      <c r="B132" s="92" t="s">
        <v>575</v>
      </c>
      <c r="C132" s="92" t="s">
        <v>434</v>
      </c>
      <c r="D132" s="92" t="s">
        <v>576</v>
      </c>
      <c r="E132" s="92" t="s">
        <v>577</v>
      </c>
      <c r="F132" s="92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</row>
    <row r="133" spans="1:17" ht="27.75" customHeight="1">
      <c r="A133" s="138" t="s">
        <v>578</v>
      </c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7"/>
    </row>
    <row r="134" spans="1:17" ht="20.25" customHeight="1">
      <c r="A134" s="128" t="s">
        <v>87</v>
      </c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7"/>
    </row>
    <row r="135" spans="1:17" ht="88.5" customHeight="1">
      <c r="A135" s="91" t="s">
        <v>579</v>
      </c>
      <c r="B135" s="92" t="s">
        <v>580</v>
      </c>
      <c r="C135" s="92" t="s">
        <v>581</v>
      </c>
      <c r="D135" s="92" t="s">
        <v>582</v>
      </c>
      <c r="E135" s="92" t="s">
        <v>583</v>
      </c>
      <c r="F135" s="92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</row>
    <row r="136" spans="1:17" ht="144" customHeight="1">
      <c r="A136" s="91" t="s">
        <v>584</v>
      </c>
      <c r="B136" s="92" t="s">
        <v>585</v>
      </c>
      <c r="C136" s="92" t="s">
        <v>586</v>
      </c>
      <c r="D136" s="92" t="s">
        <v>587</v>
      </c>
      <c r="E136" s="92" t="s">
        <v>588</v>
      </c>
      <c r="F136" s="92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</row>
    <row r="137" spans="1:17" ht="69.75" customHeight="1">
      <c r="A137" s="91" t="s">
        <v>589</v>
      </c>
      <c r="B137" s="92" t="s">
        <v>590</v>
      </c>
      <c r="C137" s="92" t="s">
        <v>95</v>
      </c>
      <c r="D137" s="92" t="s">
        <v>591</v>
      </c>
      <c r="E137" s="92" t="s">
        <v>592</v>
      </c>
      <c r="F137" s="92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</row>
    <row r="138" spans="1:17" ht="24" customHeight="1">
      <c r="A138" s="128" t="s">
        <v>139</v>
      </c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7"/>
    </row>
    <row r="139" spans="1:17" ht="70.5" customHeight="1">
      <c r="A139" s="91" t="s">
        <v>593</v>
      </c>
      <c r="B139" s="92" t="s">
        <v>594</v>
      </c>
      <c r="C139" s="92" t="s">
        <v>595</v>
      </c>
      <c r="D139" s="92" t="s">
        <v>596</v>
      </c>
      <c r="E139" s="92" t="s">
        <v>597</v>
      </c>
      <c r="F139" s="92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</row>
    <row r="140" spans="1:17" ht="45" customHeight="1">
      <c r="A140" s="91" t="s">
        <v>598</v>
      </c>
      <c r="B140" s="92" t="s">
        <v>599</v>
      </c>
      <c r="C140" s="92" t="s">
        <v>600</v>
      </c>
      <c r="D140" s="92" t="s">
        <v>601</v>
      </c>
      <c r="E140" s="92" t="s">
        <v>602</v>
      </c>
      <c r="F140" s="92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</row>
    <row r="141" spans="1:17" ht="30" customHeight="1">
      <c r="A141" s="91" t="s">
        <v>603</v>
      </c>
      <c r="B141" s="92" t="s">
        <v>604</v>
      </c>
      <c r="C141" s="92" t="s">
        <v>605</v>
      </c>
      <c r="D141" s="92" t="s">
        <v>606</v>
      </c>
      <c r="E141" s="92" t="s">
        <v>607</v>
      </c>
      <c r="F141" s="92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</row>
    <row r="142" spans="1:17" ht="30" customHeight="1">
      <c r="A142" s="91" t="s">
        <v>608</v>
      </c>
      <c r="B142" s="92" t="s">
        <v>609</v>
      </c>
      <c r="C142" s="92" t="s">
        <v>610</v>
      </c>
      <c r="D142" s="92" t="s">
        <v>611</v>
      </c>
      <c r="E142" s="92" t="s">
        <v>612</v>
      </c>
      <c r="F142" s="92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</row>
    <row r="143" spans="1:17" ht="69.75" customHeight="1">
      <c r="A143" s="91" t="s">
        <v>613</v>
      </c>
      <c r="B143" s="92" t="s">
        <v>614</v>
      </c>
      <c r="C143" s="92" t="s">
        <v>615</v>
      </c>
      <c r="D143" s="92" t="s">
        <v>616</v>
      </c>
      <c r="E143" s="92" t="s">
        <v>617</v>
      </c>
      <c r="F143" s="92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</row>
    <row r="144" spans="1:17" ht="62.25" customHeight="1">
      <c r="A144" s="91" t="s">
        <v>618</v>
      </c>
      <c r="B144" s="92" t="s">
        <v>619</v>
      </c>
      <c r="C144" s="92" t="s">
        <v>620</v>
      </c>
      <c r="D144" s="92" t="s">
        <v>621</v>
      </c>
      <c r="E144" s="92" t="s">
        <v>622</v>
      </c>
      <c r="F144" s="92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</row>
    <row r="145" spans="1:17" ht="105" customHeight="1">
      <c r="A145" s="91" t="s">
        <v>623</v>
      </c>
      <c r="B145" s="92" t="s">
        <v>624</v>
      </c>
      <c r="C145" s="92" t="s">
        <v>625</v>
      </c>
      <c r="D145" s="92" t="s">
        <v>626</v>
      </c>
      <c r="E145" s="92" t="s">
        <v>627</v>
      </c>
      <c r="F145" s="92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</row>
    <row r="146" spans="1:17" ht="57.75" customHeight="1">
      <c r="A146" s="91" t="s">
        <v>628</v>
      </c>
      <c r="B146" s="92" t="s">
        <v>629</v>
      </c>
      <c r="C146" s="92" t="s">
        <v>630</v>
      </c>
      <c r="D146" s="92" t="s">
        <v>631</v>
      </c>
      <c r="E146" s="92" t="s">
        <v>632</v>
      </c>
      <c r="F146" s="92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</row>
    <row r="147" spans="1:17" ht="45" customHeight="1">
      <c r="A147" s="91" t="s">
        <v>633</v>
      </c>
      <c r="B147" s="92" t="s">
        <v>634</v>
      </c>
      <c r="C147" s="92" t="s">
        <v>635</v>
      </c>
      <c r="D147" s="92" t="s">
        <v>636</v>
      </c>
      <c r="E147" s="92" t="s">
        <v>637</v>
      </c>
      <c r="F147" s="92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</row>
    <row r="148" spans="1:17" ht="45" customHeight="1">
      <c r="A148" s="91" t="s">
        <v>638</v>
      </c>
      <c r="B148" s="92" t="s">
        <v>639</v>
      </c>
      <c r="C148" s="92" t="s">
        <v>635</v>
      </c>
      <c r="D148" s="92" t="s">
        <v>640</v>
      </c>
      <c r="E148" s="92" t="s">
        <v>641</v>
      </c>
      <c r="F148" s="92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</row>
    <row r="149" spans="1:17" ht="45" customHeight="1">
      <c r="A149" s="91" t="s">
        <v>642</v>
      </c>
      <c r="B149" s="92" t="s">
        <v>643</v>
      </c>
      <c r="C149" s="92" t="s">
        <v>644</v>
      </c>
      <c r="D149" s="92" t="s">
        <v>645</v>
      </c>
      <c r="E149" s="92" t="s">
        <v>646</v>
      </c>
      <c r="F149" s="92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</row>
    <row r="150" spans="1:17" ht="45.75" customHeight="1">
      <c r="A150" s="91" t="s">
        <v>647</v>
      </c>
      <c r="B150" s="92" t="s">
        <v>648</v>
      </c>
      <c r="C150" s="92" t="s">
        <v>649</v>
      </c>
      <c r="D150" s="92" t="s">
        <v>650</v>
      </c>
      <c r="E150" s="92" t="s">
        <v>651</v>
      </c>
      <c r="F150" s="92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</row>
    <row r="151" spans="1:17" ht="55.5" customHeight="1">
      <c r="A151" s="91" t="s">
        <v>652</v>
      </c>
      <c r="B151" s="92" t="s">
        <v>653</v>
      </c>
      <c r="C151" s="92" t="s">
        <v>654</v>
      </c>
      <c r="D151" s="92" t="s">
        <v>655</v>
      </c>
      <c r="E151" s="92" t="s">
        <v>656</v>
      </c>
      <c r="F151" s="92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</row>
    <row r="152" spans="1:17" ht="51.75" customHeight="1">
      <c r="A152" s="91" t="s">
        <v>657</v>
      </c>
      <c r="B152" s="92" t="s">
        <v>658</v>
      </c>
      <c r="C152" s="92" t="s">
        <v>659</v>
      </c>
      <c r="D152" s="92" t="s">
        <v>660</v>
      </c>
      <c r="E152" s="92" t="s">
        <v>661</v>
      </c>
      <c r="F152" s="92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</row>
    <row r="153" spans="1:17" ht="71.25" customHeight="1">
      <c r="A153" s="91" t="s">
        <v>662</v>
      </c>
      <c r="B153" s="92" t="s">
        <v>663</v>
      </c>
      <c r="C153" s="92" t="s">
        <v>664</v>
      </c>
      <c r="D153" s="92" t="s">
        <v>660</v>
      </c>
      <c r="E153" s="92" t="s">
        <v>665</v>
      </c>
      <c r="F153" s="92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</row>
    <row r="154" spans="1:17" ht="47.25" customHeight="1">
      <c r="A154" s="91" t="s">
        <v>666</v>
      </c>
      <c r="B154" s="92" t="s">
        <v>667</v>
      </c>
      <c r="C154" s="92" t="s">
        <v>668</v>
      </c>
      <c r="D154" s="92" t="s">
        <v>669</v>
      </c>
      <c r="E154" s="92" t="s">
        <v>670</v>
      </c>
      <c r="F154" s="92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</row>
    <row r="155" spans="1:17" ht="39" customHeight="1">
      <c r="A155" s="91" t="s">
        <v>671</v>
      </c>
      <c r="B155" s="92" t="s">
        <v>672</v>
      </c>
      <c r="C155" s="92" t="s">
        <v>673</v>
      </c>
      <c r="D155" s="92" t="s">
        <v>674</v>
      </c>
      <c r="E155" s="92" t="s">
        <v>675</v>
      </c>
      <c r="F155" s="92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</row>
    <row r="156" spans="1:17" ht="30" customHeight="1">
      <c r="A156" s="91" t="s">
        <v>676</v>
      </c>
      <c r="B156" s="92" t="s">
        <v>677</v>
      </c>
      <c r="C156" s="92" t="s">
        <v>678</v>
      </c>
      <c r="D156" s="92" t="s">
        <v>679</v>
      </c>
      <c r="E156" s="92" t="s">
        <v>680</v>
      </c>
      <c r="F156" s="92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</row>
    <row r="157" spans="1:17" ht="30" customHeight="1">
      <c r="A157" s="128" t="s">
        <v>341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7"/>
    </row>
    <row r="158" spans="1:17" ht="30" customHeight="1">
      <c r="A158" s="125" t="s">
        <v>342</v>
      </c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7"/>
    </row>
    <row r="159" spans="1:17" ht="30" customHeight="1">
      <c r="A159" s="91" t="s">
        <v>681</v>
      </c>
      <c r="B159" s="92" t="s">
        <v>529</v>
      </c>
      <c r="C159" s="92" t="s">
        <v>586</v>
      </c>
      <c r="D159" s="92" t="s">
        <v>530</v>
      </c>
      <c r="E159" s="92" t="s">
        <v>346</v>
      </c>
      <c r="F159" s="92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</row>
    <row r="160" spans="1:17" ht="30" customHeight="1">
      <c r="A160" s="91" t="s">
        <v>682</v>
      </c>
      <c r="B160" s="92" t="s">
        <v>532</v>
      </c>
      <c r="C160" s="92" t="s">
        <v>586</v>
      </c>
      <c r="D160" s="92" t="s">
        <v>533</v>
      </c>
      <c r="E160" s="92" t="s">
        <v>534</v>
      </c>
      <c r="F160" s="92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</row>
    <row r="161" spans="1:17" ht="30" customHeight="1">
      <c r="A161" s="91" t="s">
        <v>683</v>
      </c>
      <c r="B161" s="92" t="s">
        <v>536</v>
      </c>
      <c r="C161" s="92" t="s">
        <v>586</v>
      </c>
      <c r="D161" s="92" t="s">
        <v>537</v>
      </c>
      <c r="E161" s="92" t="s">
        <v>538</v>
      </c>
      <c r="F161" s="92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</row>
    <row r="162" spans="1:17" ht="30" customHeight="1">
      <c r="A162" s="91" t="s">
        <v>684</v>
      </c>
      <c r="B162" s="92" t="s">
        <v>540</v>
      </c>
      <c r="C162" s="92" t="s">
        <v>586</v>
      </c>
      <c r="D162" s="92" t="s">
        <v>541</v>
      </c>
      <c r="E162" s="92" t="s">
        <v>542</v>
      </c>
      <c r="F162" s="92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</row>
    <row r="163" spans="1:17" ht="30" customHeight="1">
      <c r="A163" s="91" t="s">
        <v>685</v>
      </c>
      <c r="B163" s="92" t="s">
        <v>544</v>
      </c>
      <c r="C163" s="92" t="s">
        <v>586</v>
      </c>
      <c r="D163" s="92" t="s">
        <v>545</v>
      </c>
      <c r="E163" s="92" t="s">
        <v>542</v>
      </c>
      <c r="F163" s="92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</row>
    <row r="164" spans="1:17" ht="30" customHeight="1">
      <c r="A164" s="91" t="s">
        <v>686</v>
      </c>
      <c r="B164" s="92" t="s">
        <v>363</v>
      </c>
      <c r="C164" s="92" t="s">
        <v>586</v>
      </c>
      <c r="D164" s="92" t="s">
        <v>547</v>
      </c>
      <c r="E164" s="92" t="s">
        <v>548</v>
      </c>
      <c r="F164" s="92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</row>
    <row r="165" spans="1:17" ht="30" customHeight="1">
      <c r="A165" s="91" t="s">
        <v>687</v>
      </c>
      <c r="B165" s="92" t="s">
        <v>367</v>
      </c>
      <c r="C165" s="92" t="s">
        <v>586</v>
      </c>
      <c r="D165" s="92" t="s">
        <v>550</v>
      </c>
      <c r="E165" s="92" t="s">
        <v>542</v>
      </c>
      <c r="F165" s="92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</row>
    <row r="166" spans="1:17" ht="30" customHeight="1">
      <c r="A166" s="91" t="s">
        <v>688</v>
      </c>
      <c r="B166" s="92" t="s">
        <v>370</v>
      </c>
      <c r="C166" s="92" t="s">
        <v>586</v>
      </c>
      <c r="D166" s="92" t="s">
        <v>552</v>
      </c>
      <c r="E166" s="92" t="s">
        <v>542</v>
      </c>
      <c r="F166" s="92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</row>
    <row r="167" spans="1:17" ht="30" customHeight="1">
      <c r="A167" s="125" t="s">
        <v>372</v>
      </c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7"/>
    </row>
    <row r="168" spans="1:17" ht="30" customHeight="1">
      <c r="A168" s="91" t="s">
        <v>689</v>
      </c>
      <c r="B168" s="92" t="s">
        <v>554</v>
      </c>
      <c r="C168" s="92" t="s">
        <v>586</v>
      </c>
      <c r="D168" s="92" t="s">
        <v>555</v>
      </c>
      <c r="E168" s="92" t="s">
        <v>556</v>
      </c>
      <c r="F168" s="92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</row>
    <row r="169" spans="1:17" ht="30" customHeight="1">
      <c r="A169" s="91" t="s">
        <v>690</v>
      </c>
      <c r="B169" s="92" t="s">
        <v>378</v>
      </c>
      <c r="C169" s="92" t="s">
        <v>586</v>
      </c>
      <c r="D169" s="92" t="s">
        <v>558</v>
      </c>
      <c r="E169" s="92" t="s">
        <v>556</v>
      </c>
      <c r="F169" s="92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</row>
    <row r="170" spans="1:17" ht="30" customHeight="1">
      <c r="A170" s="91" t="s">
        <v>691</v>
      </c>
      <c r="B170" s="92" t="s">
        <v>561</v>
      </c>
      <c r="C170" s="92" t="s">
        <v>586</v>
      </c>
      <c r="D170" s="92" t="s">
        <v>562</v>
      </c>
      <c r="E170" s="92" t="s">
        <v>383</v>
      </c>
      <c r="F170" s="92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</row>
    <row r="171" spans="1:17" ht="30" customHeight="1">
      <c r="A171" s="91" t="s">
        <v>692</v>
      </c>
      <c r="B171" s="92" t="s">
        <v>564</v>
      </c>
      <c r="C171" s="92" t="s">
        <v>586</v>
      </c>
      <c r="D171" s="92" t="s">
        <v>565</v>
      </c>
      <c r="E171" s="92" t="s">
        <v>391</v>
      </c>
      <c r="F171" s="92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</row>
    <row r="172" spans="1:17" ht="30" customHeight="1">
      <c r="A172" s="91" t="s">
        <v>693</v>
      </c>
      <c r="B172" s="92" t="s">
        <v>567</v>
      </c>
      <c r="C172" s="92" t="s">
        <v>586</v>
      </c>
      <c r="D172" s="92" t="s">
        <v>568</v>
      </c>
      <c r="E172" s="92" t="s">
        <v>391</v>
      </c>
      <c r="F172" s="92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</row>
    <row r="173" spans="1:17" ht="30" customHeight="1">
      <c r="A173" s="91" t="s">
        <v>694</v>
      </c>
      <c r="B173" s="92" t="s">
        <v>393</v>
      </c>
      <c r="C173" s="92" t="s">
        <v>586</v>
      </c>
      <c r="D173" s="92" t="s">
        <v>570</v>
      </c>
      <c r="E173" s="92" t="s">
        <v>695</v>
      </c>
      <c r="F173" s="92" t="s">
        <v>27</v>
      </c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</row>
    <row r="174" spans="1:17" ht="30" customHeight="1">
      <c r="A174" s="91" t="s">
        <v>696</v>
      </c>
      <c r="B174" s="92" t="s">
        <v>573</v>
      </c>
      <c r="C174" s="92" t="s">
        <v>586</v>
      </c>
      <c r="D174" s="92" t="s">
        <v>278</v>
      </c>
      <c r="E174" s="92" t="s">
        <v>695</v>
      </c>
      <c r="F174" s="92" t="s">
        <v>27</v>
      </c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</row>
    <row r="175" spans="1:17" ht="30" customHeight="1">
      <c r="A175" s="91" t="s">
        <v>697</v>
      </c>
      <c r="B175" s="92" t="s">
        <v>575</v>
      </c>
      <c r="C175" s="92" t="s">
        <v>586</v>
      </c>
      <c r="D175" s="92" t="s">
        <v>576</v>
      </c>
      <c r="E175" s="92" t="s">
        <v>577</v>
      </c>
      <c r="F175" s="92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</row>
  </sheetData>
  <mergeCells count="45">
    <mergeCell ref="A158:Q158"/>
    <mergeCell ref="D5:F5"/>
    <mergeCell ref="A21:Q21"/>
    <mergeCell ref="D6:D7"/>
    <mergeCell ref="Q6:R6"/>
    <mergeCell ref="A85:Q85"/>
    <mergeCell ref="K1:K5"/>
    <mergeCell ref="A8:Q8"/>
    <mergeCell ref="G6:J6"/>
    <mergeCell ref="O1:O5"/>
    <mergeCell ref="B4:C4"/>
    <mergeCell ref="B5:C5"/>
    <mergeCell ref="A134:Q134"/>
    <mergeCell ref="C6:C7"/>
    <mergeCell ref="Q1:Q5"/>
    <mergeCell ref="A115:Q115"/>
    <mergeCell ref="B1:C1"/>
    <mergeCell ref="B6:B7"/>
    <mergeCell ref="A133:Q133"/>
    <mergeCell ref="A84:Q84"/>
    <mergeCell ref="A75:Q75"/>
    <mergeCell ref="H1:H5"/>
    <mergeCell ref="P1:P5"/>
    <mergeCell ref="D1:F1"/>
    <mergeCell ref="D4:F4"/>
    <mergeCell ref="A65:Q65"/>
    <mergeCell ref="D3:F3"/>
    <mergeCell ref="E6:E7"/>
    <mergeCell ref="A66:Q66"/>
    <mergeCell ref="D2:F2"/>
    <mergeCell ref="A167:Q167"/>
    <mergeCell ref="A9:Q9"/>
    <mergeCell ref="N1:N5"/>
    <mergeCell ref="B3:C3"/>
    <mergeCell ref="A114:Q114"/>
    <mergeCell ref="O6:P6"/>
    <mergeCell ref="A157:Q157"/>
    <mergeCell ref="A6:A7"/>
    <mergeCell ref="F6:F7"/>
    <mergeCell ref="A138:Q138"/>
    <mergeCell ref="G1:G5"/>
    <mergeCell ref="K6:N6"/>
    <mergeCell ref="B2:C2"/>
    <mergeCell ref="A88:Q88"/>
    <mergeCell ref="A124:Q124"/>
  </mergeCells>
  <dataValidations count="1">
    <dataValidation type="list" allowBlank="1" showErrorMessage="1" sqref="G10:G24 G26:G50 G53:G60 G62:G69 G72:G80 G82:G94 G97:G104 G106:G113 G116:G123 G125:G133 G136:G143 G145:G152 K10:K24 K26:K50 K53:K60 K62:K69 K72:K80 K82:K94 K97:K104 K106:K113 K116:K123 K125:K133 K136:K143 K145:K152">
      <formula1>"Fail,Pass,N/A,Untested,Pending"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/>
  </sheetViews>
  <sheetFormatPr defaultColWidth="12.5703125" defaultRowHeight="15" customHeight="1"/>
  <cols>
    <col min="1" max="1" width="12.5703125" style="83" customWidth="1"/>
    <col min="2" max="2" width="3.28515625" style="83" customWidth="1"/>
    <col min="3" max="3" width="24.42578125" style="83" customWidth="1"/>
    <col min="4" max="4" width="37.85546875" style="83" customWidth="1"/>
    <col min="5" max="5" width="15.28515625" style="83" customWidth="1"/>
    <col min="6" max="6" width="8.7109375" style="83" customWidth="1"/>
    <col min="7" max="7" width="8.140625" style="83" customWidth="1"/>
    <col min="8" max="8" width="9.28515625" style="83" customWidth="1"/>
    <col min="9" max="9" width="20.42578125" style="83" customWidth="1"/>
    <col min="10" max="10" width="8.7109375" style="83" customWidth="1"/>
    <col min="11" max="11" width="8.140625" style="83" customWidth="1"/>
    <col min="12" max="12" width="6.5703125" style="83" customWidth="1"/>
    <col min="13" max="13" width="12" style="83" customWidth="1"/>
    <col min="14" max="14" width="35.7109375" style="83" customWidth="1"/>
    <col min="15" max="15" width="4.28515625" style="83" customWidth="1"/>
  </cols>
  <sheetData>
    <row r="1" spans="1:15" ht="15.75" customHeight="1">
      <c r="A1" s="7"/>
      <c r="B1" s="8"/>
      <c r="C1" s="9"/>
      <c r="D1" s="10"/>
      <c r="E1" s="8"/>
      <c r="F1" s="9"/>
      <c r="G1" s="9"/>
      <c r="H1" s="8"/>
      <c r="I1" s="8"/>
      <c r="J1" s="9"/>
      <c r="K1" s="9"/>
      <c r="L1" s="8"/>
      <c r="M1" s="8"/>
      <c r="N1" s="8"/>
      <c r="O1" s="88"/>
    </row>
    <row r="2" spans="1:15" ht="15.75" customHeight="1">
      <c r="A2" s="8"/>
      <c r="B2" s="8"/>
      <c r="C2" s="11"/>
      <c r="D2" s="12"/>
      <c r="E2" s="13"/>
      <c r="F2" s="11"/>
      <c r="G2" s="11"/>
      <c r="H2" s="13"/>
      <c r="I2" s="13"/>
      <c r="J2" s="11"/>
      <c r="K2" s="11"/>
      <c r="L2" s="13"/>
      <c r="M2" s="13"/>
      <c r="N2" s="8"/>
      <c r="O2" s="88"/>
    </row>
    <row r="3" spans="1:15" ht="15.75" customHeight="1">
      <c r="A3" s="8"/>
      <c r="B3" s="8"/>
      <c r="C3" s="141" t="s">
        <v>698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4"/>
      <c r="O3" s="88"/>
    </row>
    <row r="4" spans="1:15" ht="15.75" customHeight="1">
      <c r="A4" s="8"/>
      <c r="B4" s="13"/>
      <c r="C4" s="15"/>
      <c r="D4" s="16"/>
      <c r="E4" s="17"/>
      <c r="F4" s="15"/>
      <c r="G4" s="15"/>
      <c r="H4" s="17"/>
      <c r="I4" s="17"/>
      <c r="J4" s="18"/>
      <c r="K4" s="18"/>
      <c r="L4" s="19"/>
      <c r="M4" s="19"/>
      <c r="N4" s="8"/>
      <c r="O4" s="88"/>
    </row>
    <row r="5" spans="1:15" ht="15.75" customHeight="1">
      <c r="A5" s="8"/>
      <c r="B5" s="140" t="s">
        <v>35</v>
      </c>
      <c r="C5" s="152" t="s">
        <v>8</v>
      </c>
      <c r="D5" s="149" t="s">
        <v>37</v>
      </c>
      <c r="E5" s="150" t="s">
        <v>699</v>
      </c>
      <c r="F5" s="151"/>
      <c r="G5" s="151"/>
      <c r="H5" s="151"/>
      <c r="I5" s="148" t="s">
        <v>700</v>
      </c>
      <c r="J5" s="121"/>
      <c r="K5" s="121"/>
      <c r="L5" s="121"/>
      <c r="M5" s="121"/>
      <c r="N5" s="140" t="s">
        <v>701</v>
      </c>
      <c r="O5" s="88"/>
    </row>
    <row r="6" spans="1:15" ht="15.75" customHeight="1">
      <c r="A6" s="8"/>
      <c r="B6" s="130"/>
      <c r="C6" s="130"/>
      <c r="D6" s="130"/>
      <c r="E6" s="20" t="s">
        <v>43</v>
      </c>
      <c r="F6" s="21" t="s">
        <v>702</v>
      </c>
      <c r="G6" s="21" t="s">
        <v>703</v>
      </c>
      <c r="H6" s="20" t="s">
        <v>44</v>
      </c>
      <c r="I6" s="22" t="s">
        <v>43</v>
      </c>
      <c r="J6" s="23" t="s">
        <v>702</v>
      </c>
      <c r="K6" s="23" t="s">
        <v>703</v>
      </c>
      <c r="L6" s="24" t="s">
        <v>704</v>
      </c>
      <c r="M6" s="24" t="s">
        <v>44</v>
      </c>
      <c r="N6" s="130"/>
      <c r="O6" s="88"/>
    </row>
    <row r="7" spans="1:15" ht="15.75" customHeight="1">
      <c r="A7" s="8"/>
      <c r="B7" s="25">
        <v>1</v>
      </c>
      <c r="C7" s="144" t="s">
        <v>705</v>
      </c>
      <c r="D7" s="26" t="s">
        <v>706</v>
      </c>
      <c r="E7" s="27" t="s">
        <v>707</v>
      </c>
      <c r="F7" s="28"/>
      <c r="G7" s="29"/>
      <c r="H7" s="30"/>
      <c r="I7" s="25" t="s">
        <v>708</v>
      </c>
      <c r="J7" s="74">
        <v>45915</v>
      </c>
      <c r="K7" s="74">
        <v>45922</v>
      </c>
      <c r="L7" s="142">
        <v>4</v>
      </c>
      <c r="M7" s="25"/>
      <c r="N7" s="25"/>
      <c r="O7" s="88"/>
    </row>
    <row r="8" spans="1:15" ht="15.75" customHeight="1">
      <c r="A8" s="8"/>
      <c r="B8" s="25"/>
      <c r="C8" s="130"/>
      <c r="D8" s="26" t="s">
        <v>709</v>
      </c>
      <c r="E8" s="27" t="s">
        <v>707</v>
      </c>
      <c r="F8" s="28"/>
      <c r="G8" s="29"/>
      <c r="H8" s="30"/>
      <c r="I8" s="25" t="s">
        <v>708</v>
      </c>
      <c r="J8" s="74">
        <v>45915</v>
      </c>
      <c r="K8" s="74">
        <v>45922</v>
      </c>
      <c r="L8" s="130"/>
      <c r="M8" s="25"/>
      <c r="N8" s="25"/>
      <c r="O8" s="88"/>
    </row>
    <row r="9" spans="1:15" ht="15.75" customHeight="1">
      <c r="A9" s="8"/>
      <c r="B9" s="25"/>
      <c r="C9" s="130"/>
      <c r="D9" s="26" t="s">
        <v>710</v>
      </c>
      <c r="E9" s="27" t="s">
        <v>707</v>
      </c>
      <c r="F9" s="28"/>
      <c r="G9" s="29"/>
      <c r="H9" s="30"/>
      <c r="I9" s="25" t="s">
        <v>708</v>
      </c>
      <c r="J9" s="74">
        <v>45915</v>
      </c>
      <c r="K9" s="74">
        <v>45922</v>
      </c>
      <c r="L9" s="130"/>
      <c r="M9" s="25"/>
      <c r="N9" s="25"/>
      <c r="O9" s="88"/>
    </row>
    <row r="10" spans="1:15" ht="15.75" customHeight="1">
      <c r="A10" s="8"/>
      <c r="B10" s="25"/>
      <c r="C10" s="130"/>
      <c r="D10" s="26" t="s">
        <v>711</v>
      </c>
      <c r="E10" s="27" t="s">
        <v>707</v>
      </c>
      <c r="F10" s="28"/>
      <c r="G10" s="29"/>
      <c r="H10" s="30"/>
      <c r="I10" s="25" t="s">
        <v>708</v>
      </c>
      <c r="J10" s="74">
        <v>45915</v>
      </c>
      <c r="K10" s="74">
        <v>45922</v>
      </c>
      <c r="L10" s="130"/>
      <c r="M10" s="25"/>
      <c r="N10" s="25"/>
      <c r="O10" s="88"/>
    </row>
    <row r="11" spans="1:15" ht="15.75" customHeight="1">
      <c r="A11" s="8"/>
      <c r="B11" s="25"/>
      <c r="C11" s="130"/>
      <c r="D11" s="26" t="s">
        <v>712</v>
      </c>
      <c r="E11" s="27" t="s">
        <v>707</v>
      </c>
      <c r="F11" s="28"/>
      <c r="G11" s="29"/>
      <c r="H11" s="30"/>
      <c r="I11" s="25" t="s">
        <v>708</v>
      </c>
      <c r="J11" s="74">
        <v>45915</v>
      </c>
      <c r="K11" s="74">
        <v>45922</v>
      </c>
      <c r="L11" s="130"/>
      <c r="M11" s="25"/>
      <c r="N11" s="25"/>
      <c r="O11" s="88"/>
    </row>
    <row r="12" spans="1:15" ht="15.75" customHeight="1">
      <c r="A12" s="8"/>
      <c r="B12" s="25"/>
      <c r="C12" s="130"/>
      <c r="D12" s="26" t="s">
        <v>713</v>
      </c>
      <c r="E12" s="27" t="s">
        <v>707</v>
      </c>
      <c r="F12" s="28"/>
      <c r="G12" s="29"/>
      <c r="H12" s="30"/>
      <c r="I12" s="25" t="s">
        <v>708</v>
      </c>
      <c r="J12" s="74">
        <v>45915</v>
      </c>
      <c r="K12" s="74">
        <v>45922</v>
      </c>
      <c r="L12" s="130"/>
      <c r="M12" s="25"/>
      <c r="N12" s="25"/>
      <c r="O12" s="88"/>
    </row>
    <row r="13" spans="1:15" ht="15.75" customHeight="1">
      <c r="A13" s="8"/>
      <c r="B13" s="25">
        <v>2</v>
      </c>
      <c r="C13" s="130"/>
      <c r="D13" s="26" t="s">
        <v>714</v>
      </c>
      <c r="E13" s="27" t="s">
        <v>707</v>
      </c>
      <c r="F13" s="29"/>
      <c r="G13" s="29"/>
      <c r="H13" s="30"/>
      <c r="I13" s="25" t="s">
        <v>708</v>
      </c>
      <c r="J13" s="74">
        <v>45915</v>
      </c>
      <c r="K13" s="74">
        <v>45922</v>
      </c>
      <c r="L13" s="130"/>
      <c r="M13" s="25"/>
      <c r="N13" s="25"/>
      <c r="O13" s="88"/>
    </row>
    <row r="14" spans="1:15" ht="15.75" customHeight="1">
      <c r="A14" s="8"/>
      <c r="B14" s="25"/>
      <c r="C14" s="130"/>
      <c r="D14" s="26" t="s">
        <v>715</v>
      </c>
      <c r="E14" s="27"/>
      <c r="F14" s="29"/>
      <c r="G14" s="29"/>
      <c r="H14" s="30"/>
      <c r="I14" s="25" t="s">
        <v>708</v>
      </c>
      <c r="J14" s="74">
        <v>45915</v>
      </c>
      <c r="K14" s="74">
        <v>45922</v>
      </c>
      <c r="L14" s="131"/>
      <c r="M14" s="25"/>
      <c r="N14" s="25"/>
      <c r="O14" s="88"/>
    </row>
    <row r="15" spans="1:15" ht="15.75" customHeight="1">
      <c r="A15" s="8"/>
      <c r="B15" s="25">
        <v>3</v>
      </c>
      <c r="C15" s="144" t="s">
        <v>716</v>
      </c>
      <c r="D15" s="26" t="s">
        <v>706</v>
      </c>
      <c r="E15" s="27" t="s">
        <v>707</v>
      </c>
      <c r="F15" s="75"/>
      <c r="G15" s="75"/>
      <c r="H15" s="30"/>
      <c r="I15" s="25" t="s">
        <v>708</v>
      </c>
      <c r="J15" s="74">
        <v>45915</v>
      </c>
      <c r="K15" s="74">
        <v>45922</v>
      </c>
      <c r="L15" s="142">
        <v>3</v>
      </c>
      <c r="M15" s="25"/>
      <c r="N15" s="25"/>
      <c r="O15" s="146"/>
    </row>
    <row r="16" spans="1:15" ht="15.75" customHeight="1">
      <c r="A16" s="8"/>
      <c r="B16" s="25">
        <v>4</v>
      </c>
      <c r="C16" s="130"/>
      <c r="D16" s="26" t="s">
        <v>709</v>
      </c>
      <c r="E16" s="27" t="s">
        <v>707</v>
      </c>
      <c r="F16" s="75"/>
      <c r="G16" s="75"/>
      <c r="H16" s="30"/>
      <c r="I16" s="25" t="s">
        <v>708</v>
      </c>
      <c r="J16" s="74">
        <v>45915</v>
      </c>
      <c r="K16" s="74">
        <v>45922</v>
      </c>
      <c r="L16" s="130"/>
      <c r="M16" s="25"/>
      <c r="N16" s="25"/>
      <c r="O16" s="147"/>
    </row>
    <row r="17" spans="1:15" ht="15.75" customHeight="1">
      <c r="A17" s="8"/>
      <c r="B17" s="25">
        <v>5</v>
      </c>
      <c r="C17" s="130"/>
      <c r="D17" s="26" t="s">
        <v>717</v>
      </c>
      <c r="E17" s="27" t="s">
        <v>707</v>
      </c>
      <c r="F17" s="75"/>
      <c r="G17" s="75"/>
      <c r="H17" s="30"/>
      <c r="I17" s="25" t="s">
        <v>708</v>
      </c>
      <c r="J17" s="74">
        <v>45915</v>
      </c>
      <c r="K17" s="74">
        <v>45922</v>
      </c>
      <c r="L17" s="130"/>
      <c r="M17" s="31"/>
      <c r="N17" s="31"/>
      <c r="O17" s="147"/>
    </row>
    <row r="18" spans="1:15" ht="15.75" customHeight="1">
      <c r="A18" s="8"/>
      <c r="B18" s="25">
        <v>6</v>
      </c>
      <c r="C18" s="130"/>
      <c r="D18" s="26" t="s">
        <v>718</v>
      </c>
      <c r="E18" s="27" t="s">
        <v>707</v>
      </c>
      <c r="F18" s="75"/>
      <c r="G18" s="75"/>
      <c r="H18" s="30"/>
      <c r="I18" s="25" t="s">
        <v>708</v>
      </c>
      <c r="J18" s="74">
        <v>45915</v>
      </c>
      <c r="K18" s="74">
        <v>45922</v>
      </c>
      <c r="L18" s="131"/>
      <c r="M18" s="25"/>
      <c r="N18" s="25"/>
      <c r="O18" s="147"/>
    </row>
    <row r="19" spans="1:15" ht="15.75" customHeight="1">
      <c r="A19" s="8"/>
      <c r="B19" s="25">
        <v>7</v>
      </c>
      <c r="C19" s="89" t="s">
        <v>719</v>
      </c>
      <c r="D19" s="26" t="s">
        <v>720</v>
      </c>
      <c r="E19" s="27"/>
      <c r="F19" s="75"/>
      <c r="G19" s="75"/>
      <c r="H19" s="30"/>
      <c r="I19" s="25"/>
      <c r="J19" s="90"/>
      <c r="K19" s="90"/>
      <c r="L19" s="25"/>
      <c r="M19" s="25"/>
      <c r="N19" s="25"/>
      <c r="O19" s="147"/>
    </row>
    <row r="20" spans="1:15" ht="15.75" customHeight="1">
      <c r="A20" s="8"/>
      <c r="B20" s="32">
        <v>22</v>
      </c>
      <c r="C20" s="145" t="s">
        <v>721</v>
      </c>
      <c r="D20" s="26" t="s">
        <v>706</v>
      </c>
      <c r="E20" s="30" t="s">
        <v>722</v>
      </c>
      <c r="F20" s="75"/>
      <c r="G20" s="75"/>
      <c r="H20" s="30"/>
      <c r="I20" s="25" t="s">
        <v>723</v>
      </c>
      <c r="J20" s="74">
        <v>45908</v>
      </c>
      <c r="K20" s="74">
        <v>45912</v>
      </c>
      <c r="L20" s="142">
        <v>5</v>
      </c>
      <c r="M20" s="25" t="s">
        <v>724</v>
      </c>
      <c r="N20" s="25"/>
      <c r="O20" s="88"/>
    </row>
    <row r="21" spans="1:15" ht="15.75" customHeight="1">
      <c r="A21" s="8"/>
      <c r="B21" s="32"/>
      <c r="C21" s="130"/>
      <c r="D21" s="26" t="s">
        <v>725</v>
      </c>
      <c r="E21" s="30" t="s">
        <v>722</v>
      </c>
      <c r="F21" s="75"/>
      <c r="G21" s="75"/>
      <c r="H21" s="30"/>
      <c r="I21" s="25" t="s">
        <v>723</v>
      </c>
      <c r="J21" s="74">
        <v>45908</v>
      </c>
      <c r="K21" s="74">
        <v>45912</v>
      </c>
      <c r="L21" s="130"/>
      <c r="M21" s="25" t="s">
        <v>724</v>
      </c>
      <c r="N21" s="25"/>
      <c r="O21" s="88"/>
    </row>
    <row r="22" spans="1:15" ht="15.75" customHeight="1">
      <c r="A22" s="8"/>
      <c r="B22" s="32">
        <v>24</v>
      </c>
      <c r="C22" s="130"/>
      <c r="D22" s="26" t="s">
        <v>717</v>
      </c>
      <c r="E22" s="30" t="s">
        <v>722</v>
      </c>
      <c r="F22" s="75"/>
      <c r="G22" s="75"/>
      <c r="H22" s="30"/>
      <c r="I22" s="25" t="s">
        <v>723</v>
      </c>
      <c r="J22" s="74">
        <v>45908</v>
      </c>
      <c r="K22" s="74">
        <v>45912</v>
      </c>
      <c r="L22" s="130"/>
      <c r="M22" s="25" t="s">
        <v>724</v>
      </c>
      <c r="N22" s="25"/>
      <c r="O22" s="88"/>
    </row>
    <row r="23" spans="1:15" ht="15.75" customHeight="1">
      <c r="A23" s="8"/>
      <c r="B23" s="32"/>
      <c r="C23" s="130"/>
      <c r="D23" s="26" t="s">
        <v>726</v>
      </c>
      <c r="E23" s="30" t="s">
        <v>722</v>
      </c>
      <c r="F23" s="75"/>
      <c r="G23" s="75"/>
      <c r="H23" s="30"/>
      <c r="I23" s="25" t="s">
        <v>723</v>
      </c>
      <c r="J23" s="74">
        <v>45908</v>
      </c>
      <c r="K23" s="74">
        <v>45912</v>
      </c>
      <c r="L23" s="130"/>
      <c r="M23" s="25" t="s">
        <v>724</v>
      </c>
      <c r="N23" s="25"/>
      <c r="O23" s="88"/>
    </row>
    <row r="24" spans="1:15" ht="15.75" customHeight="1">
      <c r="A24" s="8"/>
      <c r="B24" s="32"/>
      <c r="C24" s="130"/>
      <c r="D24" s="26" t="s">
        <v>727</v>
      </c>
      <c r="E24" s="30" t="s">
        <v>722</v>
      </c>
      <c r="F24" s="75"/>
      <c r="G24" s="75"/>
      <c r="H24" s="30"/>
      <c r="I24" s="25" t="s">
        <v>723</v>
      </c>
      <c r="J24" s="74">
        <v>45908</v>
      </c>
      <c r="K24" s="74">
        <v>45912</v>
      </c>
      <c r="L24" s="130"/>
      <c r="M24" s="25" t="s">
        <v>724</v>
      </c>
      <c r="N24" s="25"/>
      <c r="O24" s="88"/>
    </row>
    <row r="25" spans="1:15" ht="15.75" customHeight="1">
      <c r="A25" s="8"/>
      <c r="B25" s="32"/>
      <c r="C25" s="130"/>
      <c r="D25" s="26" t="s">
        <v>728</v>
      </c>
      <c r="E25" s="30" t="s">
        <v>722</v>
      </c>
      <c r="F25" s="29"/>
      <c r="G25" s="29"/>
      <c r="H25" s="30"/>
      <c r="I25" s="25" t="s">
        <v>723</v>
      </c>
      <c r="J25" s="74">
        <v>45908</v>
      </c>
      <c r="K25" s="74">
        <v>45912</v>
      </c>
      <c r="L25" s="130"/>
      <c r="M25" s="25" t="s">
        <v>724</v>
      </c>
      <c r="N25" s="25"/>
      <c r="O25" s="88"/>
    </row>
    <row r="26" spans="1:15" ht="15.75" customHeight="1">
      <c r="A26" s="8"/>
      <c r="B26" s="32">
        <v>28</v>
      </c>
      <c r="C26" s="131"/>
      <c r="D26" s="33" t="s">
        <v>729</v>
      </c>
      <c r="E26" s="30" t="s">
        <v>722</v>
      </c>
      <c r="F26" s="29"/>
      <c r="G26" s="34"/>
      <c r="H26" s="30"/>
      <c r="I26" s="25" t="s">
        <v>723</v>
      </c>
      <c r="J26" s="74">
        <v>45908</v>
      </c>
      <c r="K26" s="74">
        <v>45912</v>
      </c>
      <c r="L26" s="131"/>
      <c r="M26" s="25" t="s">
        <v>724</v>
      </c>
      <c r="N26" s="31"/>
      <c r="O26" s="88"/>
    </row>
    <row r="27" spans="1:15" ht="15.75" customHeight="1">
      <c r="A27" s="8"/>
      <c r="B27" s="35">
        <v>29</v>
      </c>
      <c r="C27" s="36" t="s">
        <v>730</v>
      </c>
      <c r="D27" s="33"/>
      <c r="E27" s="35" t="s">
        <v>731</v>
      </c>
      <c r="F27" s="36"/>
      <c r="G27" s="36"/>
      <c r="H27" s="35"/>
      <c r="I27" s="35"/>
      <c r="J27" s="36"/>
      <c r="K27" s="36"/>
      <c r="L27" s="35">
        <v>1</v>
      </c>
      <c r="M27" s="35" t="s">
        <v>732</v>
      </c>
      <c r="N27" s="35"/>
      <c r="O27" s="88"/>
    </row>
    <row r="28" spans="1:15" ht="15.75" customHeight="1">
      <c r="A28" s="37"/>
      <c r="B28" s="38"/>
      <c r="C28" s="39"/>
      <c r="D28" s="40"/>
      <c r="E28" s="38"/>
      <c r="F28" s="39"/>
      <c r="G28" s="39"/>
      <c r="H28" s="38"/>
      <c r="I28" s="38"/>
      <c r="J28" s="39"/>
      <c r="K28" s="39"/>
      <c r="L28" s="38"/>
      <c r="M28" s="38"/>
      <c r="N28" s="38"/>
      <c r="O28" s="88"/>
    </row>
    <row r="29" spans="1:15" ht="15.75" customHeight="1">
      <c r="A29" s="37"/>
      <c r="B29" s="37"/>
      <c r="C29" s="41"/>
      <c r="D29" s="42"/>
      <c r="E29" s="37"/>
      <c r="F29" s="41"/>
      <c r="G29" s="41"/>
      <c r="H29" s="37"/>
      <c r="I29" s="37"/>
      <c r="J29" s="41"/>
      <c r="K29" s="41"/>
      <c r="L29" s="37"/>
      <c r="M29" s="37"/>
      <c r="N29" s="37"/>
      <c r="O29" s="88"/>
    </row>
    <row r="30" spans="1:15" ht="15.75" customHeight="1">
      <c r="A30" s="37"/>
      <c r="B30" s="37"/>
      <c r="C30" s="41"/>
      <c r="D30" s="42"/>
      <c r="E30" s="37"/>
      <c r="F30" s="41"/>
      <c r="G30" s="41"/>
      <c r="H30" s="37"/>
      <c r="I30" s="37"/>
      <c r="J30" s="41"/>
      <c r="K30" s="41"/>
      <c r="L30" s="37"/>
      <c r="M30" s="37"/>
      <c r="N30" s="37"/>
      <c r="O30" s="88"/>
    </row>
    <row r="31" spans="1:15" ht="15.75" customHeight="1">
      <c r="A31" s="37"/>
      <c r="B31" s="37"/>
      <c r="C31" s="41"/>
      <c r="D31" s="42"/>
      <c r="E31" s="37"/>
      <c r="F31" s="41"/>
      <c r="G31" s="41"/>
      <c r="H31" s="37"/>
      <c r="I31" s="37"/>
      <c r="J31" s="41"/>
      <c r="K31" s="41"/>
      <c r="L31" s="37"/>
      <c r="M31" s="37"/>
      <c r="N31" s="37"/>
      <c r="O31" s="88"/>
    </row>
    <row r="32" spans="1:15" ht="15.75" customHeight="1">
      <c r="A32" s="37"/>
      <c r="B32" s="37"/>
      <c r="C32" s="41"/>
      <c r="D32" s="42"/>
      <c r="E32" s="37"/>
      <c r="F32" s="41"/>
      <c r="G32" s="41"/>
      <c r="H32" s="37"/>
      <c r="I32" s="37"/>
      <c r="J32" s="41"/>
      <c r="K32" s="41"/>
      <c r="L32" s="37"/>
      <c r="M32" s="37"/>
      <c r="N32" s="37"/>
      <c r="O32" s="88"/>
    </row>
    <row r="33" spans="1:15" ht="15.75" customHeight="1">
      <c r="A33" s="37"/>
      <c r="B33" s="37"/>
      <c r="C33" s="41"/>
      <c r="D33" s="42"/>
      <c r="E33" s="37"/>
      <c r="F33" s="41"/>
      <c r="G33" s="41"/>
      <c r="H33" s="37"/>
      <c r="I33" s="37"/>
      <c r="J33" s="41"/>
      <c r="K33" s="41"/>
      <c r="L33" s="37"/>
      <c r="M33" s="37"/>
      <c r="N33" s="37"/>
      <c r="O33" s="88"/>
    </row>
    <row r="34" spans="1:15" ht="15.75" customHeight="1">
      <c r="A34" s="37"/>
      <c r="B34" s="37"/>
      <c r="C34" s="41"/>
      <c r="D34" s="42"/>
      <c r="E34" s="37"/>
      <c r="F34" s="41"/>
      <c r="G34" s="41"/>
      <c r="H34" s="37"/>
      <c r="I34" s="37"/>
      <c r="J34" s="41"/>
      <c r="K34" s="41"/>
      <c r="L34" s="37"/>
      <c r="M34" s="37"/>
      <c r="N34" s="37"/>
      <c r="O34" s="88"/>
    </row>
    <row r="35" spans="1:15" ht="15.75" customHeight="1">
      <c r="A35" s="37"/>
      <c r="B35" s="37"/>
      <c r="C35" s="41"/>
      <c r="D35" s="42"/>
      <c r="E35" s="37"/>
      <c r="F35" s="41"/>
      <c r="G35" s="41"/>
      <c r="H35" s="37"/>
      <c r="I35" s="37"/>
      <c r="J35" s="41"/>
      <c r="K35" s="41"/>
      <c r="L35" s="37"/>
      <c r="M35" s="37"/>
      <c r="N35" s="37"/>
      <c r="O35" s="88"/>
    </row>
    <row r="36" spans="1:15" ht="15.75" customHeight="1">
      <c r="A36" s="37"/>
      <c r="B36" s="37"/>
      <c r="C36" s="41"/>
      <c r="D36" s="42"/>
      <c r="E36" s="37"/>
      <c r="F36" s="41"/>
      <c r="G36" s="41"/>
      <c r="H36" s="37"/>
      <c r="I36" s="37"/>
      <c r="J36" s="41"/>
      <c r="K36" s="41"/>
      <c r="L36" s="37"/>
      <c r="M36" s="37"/>
      <c r="N36" s="37"/>
      <c r="O36" s="88"/>
    </row>
    <row r="37" spans="1:15" ht="15.75" customHeight="1">
      <c r="A37" s="37"/>
      <c r="B37" s="37"/>
      <c r="C37" s="41"/>
      <c r="D37" s="42"/>
      <c r="E37" s="37"/>
      <c r="F37" s="41"/>
      <c r="G37" s="41"/>
      <c r="H37" s="37"/>
      <c r="I37" s="37"/>
      <c r="J37" s="41"/>
      <c r="K37" s="41"/>
      <c r="L37" s="37"/>
      <c r="M37" s="37"/>
      <c r="N37" s="37"/>
      <c r="O37" s="88"/>
    </row>
    <row r="38" spans="1:15" ht="15.75" customHeight="1">
      <c r="A38" s="37"/>
      <c r="B38" s="37"/>
      <c r="C38" s="41"/>
      <c r="D38" s="42"/>
      <c r="E38" s="37"/>
      <c r="F38" s="41"/>
      <c r="G38" s="41"/>
      <c r="H38" s="37"/>
      <c r="I38" s="37"/>
      <c r="J38" s="41"/>
      <c r="K38" s="41"/>
      <c r="L38" s="37"/>
      <c r="M38" s="37"/>
      <c r="N38" s="37"/>
      <c r="O38" s="88"/>
    </row>
    <row r="39" spans="1:15" ht="15.75" customHeight="1">
      <c r="A39" s="37"/>
      <c r="B39" s="37"/>
      <c r="C39" s="41"/>
      <c r="D39" s="42"/>
      <c r="E39" s="37"/>
      <c r="F39" s="41"/>
      <c r="G39" s="41"/>
      <c r="H39" s="37"/>
      <c r="I39" s="37"/>
      <c r="J39" s="41"/>
      <c r="K39" s="41"/>
      <c r="L39" s="37"/>
      <c r="M39" s="37"/>
      <c r="N39" s="37"/>
      <c r="O39" s="88"/>
    </row>
    <row r="40" spans="1:15" ht="15.75" customHeight="1">
      <c r="A40" s="37"/>
      <c r="B40" s="37"/>
      <c r="C40" s="41"/>
      <c r="D40" s="42"/>
      <c r="E40" s="37"/>
      <c r="F40" s="41"/>
      <c r="G40" s="41"/>
      <c r="H40" s="37"/>
      <c r="I40" s="37"/>
      <c r="J40" s="41"/>
      <c r="K40" s="41"/>
      <c r="L40" s="37"/>
      <c r="M40" s="37"/>
      <c r="N40" s="37"/>
      <c r="O40" s="88"/>
    </row>
    <row r="41" spans="1:15" ht="15.75" customHeight="1">
      <c r="A41" s="37"/>
      <c r="B41" s="37"/>
      <c r="C41" s="41"/>
      <c r="D41" s="42"/>
      <c r="E41" s="37"/>
      <c r="F41" s="41"/>
      <c r="G41" s="41"/>
      <c r="H41" s="37"/>
      <c r="I41" s="37"/>
      <c r="J41" s="41"/>
      <c r="K41" s="41"/>
      <c r="L41" s="37"/>
      <c r="M41" s="37"/>
      <c r="N41" s="37"/>
      <c r="O41" s="88"/>
    </row>
    <row r="42" spans="1:15" ht="15.75" customHeight="1">
      <c r="A42" s="37"/>
      <c r="B42" s="37"/>
      <c r="C42" s="41"/>
      <c r="D42" s="42"/>
      <c r="E42" s="37"/>
      <c r="F42" s="41"/>
      <c r="G42" s="41"/>
      <c r="H42" s="37"/>
      <c r="I42" s="37"/>
      <c r="J42" s="41"/>
      <c r="K42" s="41"/>
      <c r="L42" s="37"/>
      <c r="M42" s="37"/>
      <c r="N42" s="37"/>
      <c r="O42" s="88"/>
    </row>
    <row r="43" spans="1:15" ht="15.75" customHeight="1">
      <c r="A43" s="37"/>
      <c r="B43" s="37"/>
      <c r="C43" s="41"/>
      <c r="D43" s="42"/>
      <c r="E43" s="37"/>
      <c r="F43" s="41"/>
      <c r="G43" s="41"/>
      <c r="H43" s="37"/>
      <c r="I43" s="37"/>
      <c r="J43" s="41"/>
      <c r="K43" s="41"/>
      <c r="L43" s="37"/>
      <c r="M43" s="37"/>
      <c r="N43" s="37"/>
      <c r="O43" s="88"/>
    </row>
    <row r="44" spans="1:15" ht="15.75" customHeight="1">
      <c r="A44" s="37"/>
      <c r="B44" s="37"/>
      <c r="C44" s="41"/>
      <c r="D44" s="42"/>
      <c r="E44" s="37"/>
      <c r="F44" s="41"/>
      <c r="G44" s="41"/>
      <c r="H44" s="37"/>
      <c r="I44" s="37"/>
      <c r="J44" s="41"/>
      <c r="K44" s="41"/>
      <c r="L44" s="37"/>
      <c r="M44" s="37"/>
      <c r="N44" s="37"/>
      <c r="O44" s="88"/>
    </row>
    <row r="45" spans="1:15" ht="15.75" customHeight="1">
      <c r="A45" s="88"/>
      <c r="B45" s="37"/>
      <c r="C45" s="41"/>
      <c r="D45" s="42"/>
      <c r="E45" s="37"/>
      <c r="F45" s="41"/>
      <c r="G45" s="41"/>
      <c r="H45" s="37"/>
      <c r="I45" s="37"/>
      <c r="J45" s="41"/>
      <c r="K45" s="41"/>
      <c r="L45" s="37"/>
      <c r="M45" s="37"/>
      <c r="N45" s="37"/>
      <c r="O45" s="88"/>
    </row>
    <row r="46" spans="1:15" ht="15.75" customHeight="1">
      <c r="A46" s="88"/>
      <c r="B46" s="88"/>
      <c r="C46" s="43"/>
      <c r="D46" s="44"/>
      <c r="E46" s="88"/>
      <c r="F46" s="43"/>
      <c r="G46" s="43"/>
      <c r="H46" s="37"/>
      <c r="I46" s="37"/>
      <c r="J46" s="41"/>
      <c r="K46" s="41"/>
      <c r="L46" s="37"/>
      <c r="M46" s="37"/>
      <c r="N46" s="37"/>
      <c r="O46" s="88"/>
    </row>
    <row r="47" spans="1:15" ht="15.75" customHeight="1">
      <c r="A47" s="88"/>
      <c r="B47" s="88"/>
      <c r="C47" s="43"/>
      <c r="D47" s="44"/>
      <c r="E47" s="88"/>
      <c r="F47" s="43"/>
      <c r="G47" s="43"/>
      <c r="H47" s="37"/>
      <c r="I47" s="37"/>
      <c r="J47" s="41"/>
      <c r="K47" s="41"/>
      <c r="L47" s="37"/>
      <c r="M47" s="37"/>
      <c r="N47" s="37"/>
      <c r="O47" s="88"/>
    </row>
    <row r="48" spans="1:15" ht="15.75" customHeight="1">
      <c r="A48" s="88"/>
      <c r="B48" s="88"/>
      <c r="C48" s="43"/>
      <c r="D48" s="44"/>
      <c r="E48" s="88"/>
      <c r="F48" s="43"/>
      <c r="G48" s="43"/>
      <c r="H48" s="37"/>
      <c r="I48" s="37"/>
      <c r="J48" s="41"/>
      <c r="K48" s="41"/>
      <c r="L48" s="37"/>
      <c r="M48" s="37"/>
      <c r="N48" s="37"/>
      <c r="O48" s="88"/>
    </row>
    <row r="49" spans="1:15" ht="15.75" customHeight="1">
      <c r="A49" s="88"/>
      <c r="B49" s="88"/>
      <c r="C49" s="43"/>
      <c r="D49" s="44"/>
      <c r="E49" s="88"/>
      <c r="F49" s="43"/>
      <c r="G49" s="43"/>
      <c r="H49" s="37"/>
      <c r="I49" s="37"/>
      <c r="J49" s="41"/>
      <c r="K49" s="41"/>
      <c r="L49" s="37"/>
      <c r="M49" s="37"/>
      <c r="N49" s="37"/>
      <c r="O49" s="88"/>
    </row>
    <row r="50" spans="1:15" ht="15.75" customHeight="1">
      <c r="A50" s="88"/>
      <c r="B50" s="88"/>
      <c r="C50" s="43"/>
      <c r="D50" s="44"/>
      <c r="E50" s="88"/>
      <c r="F50" s="43"/>
      <c r="G50" s="43"/>
      <c r="H50" s="37"/>
      <c r="I50" s="37"/>
      <c r="J50" s="41"/>
      <c r="K50" s="41"/>
      <c r="L50" s="37"/>
      <c r="M50" s="37"/>
      <c r="N50" s="37"/>
      <c r="O50" s="88"/>
    </row>
    <row r="51" spans="1:15" ht="15.75" customHeight="1">
      <c r="A51" s="88"/>
      <c r="B51" s="88"/>
      <c r="C51" s="43"/>
      <c r="D51" s="44"/>
      <c r="E51" s="88"/>
      <c r="F51" s="43"/>
      <c r="G51" s="43"/>
      <c r="H51" s="37"/>
      <c r="I51" s="37"/>
      <c r="J51" s="41"/>
      <c r="K51" s="41"/>
      <c r="L51" s="37"/>
      <c r="M51" s="37"/>
      <c r="N51" s="37"/>
      <c r="O51" s="88"/>
    </row>
    <row r="52" spans="1:15" ht="15.75" customHeight="1">
      <c r="A52" s="88"/>
      <c r="B52" s="88"/>
      <c r="C52" s="43"/>
      <c r="D52" s="44"/>
      <c r="E52" s="88"/>
      <c r="F52" s="43"/>
      <c r="G52" s="43"/>
      <c r="H52" s="37"/>
      <c r="I52" s="37"/>
      <c r="J52" s="41"/>
      <c r="K52" s="41"/>
      <c r="L52" s="37"/>
      <c r="M52" s="37"/>
      <c r="N52" s="37"/>
      <c r="O52" s="88"/>
    </row>
    <row r="53" spans="1:15" ht="15.75" customHeight="1">
      <c r="A53" s="88"/>
      <c r="B53" s="88"/>
      <c r="C53" s="43"/>
      <c r="D53" s="44"/>
      <c r="E53" s="88"/>
      <c r="F53" s="43"/>
      <c r="G53" s="43"/>
      <c r="H53" s="37"/>
      <c r="I53" s="37"/>
      <c r="J53" s="41"/>
      <c r="K53" s="41"/>
      <c r="L53" s="37"/>
      <c r="M53" s="37"/>
      <c r="N53" s="37"/>
      <c r="O53" s="88"/>
    </row>
    <row r="54" spans="1:15" ht="15.75" customHeight="1">
      <c r="A54" s="88"/>
      <c r="B54" s="88"/>
      <c r="C54" s="43"/>
      <c r="D54" s="44"/>
      <c r="E54" s="88"/>
      <c r="F54" s="43"/>
      <c r="G54" s="43"/>
      <c r="H54" s="37"/>
      <c r="I54" s="37"/>
      <c r="J54" s="41"/>
      <c r="K54" s="41"/>
      <c r="L54" s="37"/>
      <c r="M54" s="37"/>
      <c r="N54" s="37"/>
      <c r="O54" s="88"/>
    </row>
    <row r="55" spans="1:15" ht="15.75" customHeight="1">
      <c r="A55" s="88"/>
      <c r="B55" s="88"/>
      <c r="C55" s="43"/>
      <c r="D55" s="44"/>
      <c r="E55" s="88"/>
      <c r="F55" s="43"/>
      <c r="G55" s="43"/>
      <c r="H55" s="37"/>
      <c r="I55" s="37"/>
      <c r="J55" s="41"/>
      <c r="K55" s="41"/>
      <c r="L55" s="37"/>
      <c r="M55" s="37"/>
      <c r="N55" s="37"/>
      <c r="O55" s="88"/>
    </row>
    <row r="56" spans="1:15" ht="15.75" customHeight="1">
      <c r="A56" s="88"/>
      <c r="B56" s="88"/>
      <c r="C56" s="43"/>
      <c r="D56" s="44"/>
      <c r="E56" s="88"/>
      <c r="F56" s="43"/>
      <c r="G56" s="43"/>
      <c r="H56" s="37"/>
      <c r="I56" s="37"/>
      <c r="J56" s="41"/>
      <c r="K56" s="41"/>
      <c r="L56" s="37"/>
      <c r="M56" s="37"/>
      <c r="N56" s="37"/>
      <c r="O56" s="88"/>
    </row>
    <row r="57" spans="1:15" ht="15.75" customHeight="1">
      <c r="A57" s="88"/>
      <c r="B57" s="88"/>
      <c r="C57" s="43"/>
      <c r="D57" s="44"/>
      <c r="E57" s="88"/>
      <c r="F57" s="43"/>
      <c r="G57" s="43"/>
      <c r="H57" s="37"/>
      <c r="I57" s="37"/>
      <c r="J57" s="41"/>
      <c r="K57" s="41"/>
      <c r="L57" s="37"/>
      <c r="M57" s="37"/>
      <c r="N57" s="37"/>
      <c r="O57" s="88"/>
    </row>
    <row r="58" spans="1:15" ht="15.75" customHeight="1">
      <c r="A58" s="88"/>
      <c r="B58" s="88"/>
      <c r="C58" s="43"/>
      <c r="D58" s="44"/>
      <c r="E58" s="88"/>
      <c r="F58" s="43"/>
      <c r="G58" s="43"/>
      <c r="H58" s="37"/>
      <c r="I58" s="37"/>
      <c r="J58" s="41"/>
      <c r="K58" s="41"/>
      <c r="L58" s="37"/>
      <c r="M58" s="37"/>
      <c r="N58" s="37"/>
      <c r="O58" s="88"/>
    </row>
    <row r="59" spans="1:15" ht="15.75" customHeight="1">
      <c r="A59" s="88"/>
      <c r="B59" s="88"/>
      <c r="C59" s="43"/>
      <c r="D59" s="44"/>
      <c r="E59" s="88"/>
      <c r="F59" s="43"/>
      <c r="G59" s="43"/>
      <c r="H59" s="37"/>
      <c r="I59" s="37"/>
      <c r="J59" s="41"/>
      <c r="K59" s="41"/>
      <c r="L59" s="37"/>
      <c r="M59" s="37"/>
      <c r="N59" s="37"/>
      <c r="O59" s="88"/>
    </row>
    <row r="60" spans="1:15" ht="15.75" customHeight="1">
      <c r="A60" s="88"/>
      <c r="B60" s="88"/>
      <c r="C60" s="43"/>
      <c r="D60" s="44"/>
      <c r="E60" s="88"/>
      <c r="F60" s="43"/>
      <c r="G60" s="43"/>
      <c r="H60" s="88"/>
      <c r="I60" s="88"/>
      <c r="J60" s="43"/>
      <c r="K60" s="43"/>
      <c r="L60" s="143"/>
      <c r="M60" s="95"/>
      <c r="N60" s="88"/>
      <c r="O60" s="88"/>
    </row>
    <row r="61" spans="1:15" ht="15.75" customHeight="1">
      <c r="A61" s="88"/>
      <c r="B61" s="88"/>
      <c r="C61" s="43"/>
      <c r="D61" s="44"/>
      <c r="E61" s="88"/>
      <c r="F61" s="43"/>
      <c r="G61" s="43"/>
      <c r="H61" s="88"/>
      <c r="I61" s="88"/>
      <c r="J61" s="43"/>
      <c r="K61" s="43"/>
      <c r="L61" s="143"/>
      <c r="M61" s="95"/>
      <c r="N61" s="88"/>
      <c r="O61" s="88"/>
    </row>
    <row r="62" spans="1:15" ht="15.75" customHeight="1">
      <c r="A62" s="88"/>
      <c r="B62" s="88"/>
      <c r="C62" s="43"/>
      <c r="D62" s="44"/>
      <c r="E62" s="88"/>
      <c r="F62" s="43"/>
      <c r="G62" s="43"/>
      <c r="H62" s="88"/>
      <c r="I62" s="88"/>
      <c r="J62" s="43"/>
      <c r="K62" s="43"/>
      <c r="L62" s="143"/>
      <c r="M62" s="95"/>
      <c r="N62" s="88"/>
      <c r="O62" s="88"/>
    </row>
    <row r="63" spans="1:15" ht="15.75" customHeight="1">
      <c r="C63" s="45"/>
      <c r="D63" s="46"/>
      <c r="L63" s="47"/>
    </row>
    <row r="64" spans="1:15" ht="15.75" customHeight="1">
      <c r="C64" s="45"/>
      <c r="D64" s="46"/>
      <c r="L64" s="47"/>
    </row>
    <row r="65" spans="3:12" ht="15.75" customHeight="1">
      <c r="C65" s="45"/>
      <c r="D65" s="46"/>
      <c r="L65" s="47"/>
    </row>
    <row r="66" spans="3:12" ht="15.75" customHeight="1">
      <c r="C66" s="45"/>
      <c r="D66" s="46"/>
      <c r="L66" s="47"/>
    </row>
    <row r="67" spans="3:12" ht="15.75" customHeight="1">
      <c r="C67" s="45"/>
      <c r="D67" s="46"/>
      <c r="L67" s="47"/>
    </row>
    <row r="68" spans="3:12" ht="15.75" customHeight="1">
      <c r="C68" s="45"/>
      <c r="D68" s="46"/>
      <c r="L68" s="47"/>
    </row>
    <row r="69" spans="3:12" ht="15.75" customHeight="1">
      <c r="C69" s="45"/>
      <c r="D69" s="46"/>
      <c r="L69" s="47"/>
    </row>
    <row r="70" spans="3:12" ht="15.75" customHeight="1">
      <c r="C70" s="45"/>
      <c r="D70" s="46"/>
      <c r="L70" s="47"/>
    </row>
    <row r="71" spans="3:12" ht="15.75" customHeight="1">
      <c r="C71" s="45"/>
      <c r="D71" s="46"/>
      <c r="L71" s="47"/>
    </row>
    <row r="72" spans="3:12" ht="15.75" customHeight="1">
      <c r="C72" s="45"/>
      <c r="D72" s="46"/>
      <c r="L72" s="47"/>
    </row>
    <row r="73" spans="3:12" ht="15.75" customHeight="1">
      <c r="C73" s="45"/>
      <c r="D73" s="46"/>
      <c r="L73" s="47"/>
    </row>
    <row r="74" spans="3:12" ht="15.75" customHeight="1">
      <c r="C74" s="45"/>
      <c r="D74" s="46"/>
      <c r="L74" s="47"/>
    </row>
    <row r="75" spans="3:12" ht="15.75" customHeight="1">
      <c r="C75" s="45"/>
      <c r="D75" s="46"/>
      <c r="L75" s="47"/>
    </row>
    <row r="76" spans="3:12" ht="15.75" customHeight="1">
      <c r="C76" s="45"/>
      <c r="D76" s="46"/>
      <c r="L76" s="47"/>
    </row>
    <row r="77" spans="3:12" ht="15.75" customHeight="1">
      <c r="C77" s="45"/>
      <c r="D77" s="46"/>
      <c r="L77" s="47"/>
    </row>
    <row r="78" spans="3:12" ht="15.75" customHeight="1">
      <c r="C78" s="45"/>
      <c r="D78" s="46"/>
      <c r="L78" s="47"/>
    </row>
    <row r="79" spans="3:12" ht="15.75" customHeight="1">
      <c r="C79" s="45"/>
      <c r="D79" s="46"/>
      <c r="L79" s="47"/>
    </row>
    <row r="80" spans="3:12" ht="15.75" customHeight="1">
      <c r="C80" s="45"/>
      <c r="D80" s="46"/>
      <c r="L80" s="47"/>
    </row>
    <row r="81" spans="3:12" ht="15.75" customHeight="1">
      <c r="C81" s="45"/>
      <c r="D81" s="46"/>
      <c r="L81" s="47"/>
    </row>
    <row r="82" spans="3:12" ht="15.75" customHeight="1">
      <c r="C82" s="45"/>
      <c r="D82" s="46"/>
      <c r="L82" s="47"/>
    </row>
    <row r="83" spans="3:12" ht="15.75" customHeight="1">
      <c r="C83" s="45"/>
      <c r="D83" s="46"/>
      <c r="L83" s="47"/>
    </row>
    <row r="84" spans="3:12" ht="15.75" customHeight="1">
      <c r="C84" s="45"/>
      <c r="D84" s="46"/>
      <c r="L84" s="47"/>
    </row>
    <row r="85" spans="3:12" ht="15.75" customHeight="1">
      <c r="C85" s="45"/>
      <c r="D85" s="46"/>
      <c r="L85" s="47"/>
    </row>
    <row r="86" spans="3:12" ht="15.75" customHeight="1">
      <c r="C86" s="45"/>
      <c r="D86" s="46"/>
      <c r="L86" s="47"/>
    </row>
    <row r="87" spans="3:12" ht="15.75" customHeight="1">
      <c r="C87" s="45"/>
      <c r="D87" s="46"/>
      <c r="L87" s="47"/>
    </row>
    <row r="88" spans="3:12" ht="15.75" customHeight="1">
      <c r="C88" s="45"/>
      <c r="D88" s="46"/>
      <c r="L88" s="47"/>
    </row>
    <row r="89" spans="3:12" ht="15.75" customHeight="1">
      <c r="C89" s="45"/>
      <c r="D89" s="46"/>
      <c r="L89" s="47"/>
    </row>
    <row r="90" spans="3:12" ht="15.75" customHeight="1">
      <c r="C90" s="45"/>
      <c r="D90" s="46"/>
      <c r="L90" s="47"/>
    </row>
    <row r="91" spans="3:12" ht="15.75" customHeight="1">
      <c r="C91" s="45"/>
      <c r="D91" s="46"/>
      <c r="L91" s="47"/>
    </row>
    <row r="92" spans="3:12" ht="15.75" customHeight="1">
      <c r="C92" s="45"/>
      <c r="D92" s="46"/>
      <c r="L92" s="47"/>
    </row>
    <row r="93" spans="3:12" ht="15.75" customHeight="1">
      <c r="C93" s="45"/>
      <c r="D93" s="46"/>
      <c r="L93" s="47"/>
    </row>
    <row r="94" spans="3:12" ht="15.75" customHeight="1">
      <c r="C94" s="45"/>
      <c r="D94" s="46"/>
      <c r="L94" s="47"/>
    </row>
    <row r="95" spans="3:12" ht="15.75" customHeight="1">
      <c r="C95" s="45"/>
      <c r="D95" s="46"/>
      <c r="L95" s="47"/>
    </row>
    <row r="96" spans="3:12" ht="15.75" customHeight="1">
      <c r="C96" s="45"/>
      <c r="D96" s="46"/>
      <c r="L96" s="47"/>
    </row>
    <row r="97" spans="3:12" ht="15.75" customHeight="1">
      <c r="C97" s="45"/>
      <c r="D97" s="46"/>
      <c r="L97" s="47"/>
    </row>
    <row r="98" spans="3:12" ht="15.75" customHeight="1">
      <c r="C98" s="45"/>
      <c r="D98" s="46"/>
      <c r="L98" s="47"/>
    </row>
    <row r="99" spans="3:12" ht="15.75" customHeight="1">
      <c r="C99" s="45"/>
      <c r="D99" s="46"/>
      <c r="L99" s="47"/>
    </row>
    <row r="100" spans="3:12" ht="15.75" customHeight="1">
      <c r="C100" s="45"/>
      <c r="D100" s="46"/>
      <c r="L100" s="47"/>
    </row>
    <row r="101" spans="3:12" ht="15.75" customHeight="1">
      <c r="C101" s="45"/>
      <c r="D101" s="46"/>
      <c r="L101" s="47"/>
    </row>
    <row r="102" spans="3:12" ht="15.75" customHeight="1">
      <c r="C102" s="45"/>
      <c r="D102" s="46"/>
      <c r="L102" s="47"/>
    </row>
    <row r="103" spans="3:12" ht="15.75" customHeight="1">
      <c r="C103" s="45"/>
      <c r="D103" s="46"/>
      <c r="L103" s="47"/>
    </row>
    <row r="104" spans="3:12" ht="15.75" customHeight="1">
      <c r="C104" s="45"/>
      <c r="D104" s="46"/>
      <c r="L104" s="47"/>
    </row>
    <row r="105" spans="3:12" ht="15.75" customHeight="1">
      <c r="C105" s="45"/>
      <c r="D105" s="46"/>
      <c r="L105" s="47"/>
    </row>
    <row r="106" spans="3:12" ht="15.75" customHeight="1">
      <c r="C106" s="45"/>
      <c r="D106" s="46"/>
      <c r="L106" s="47"/>
    </row>
    <row r="107" spans="3:12" ht="15.75" customHeight="1">
      <c r="C107" s="45"/>
      <c r="D107" s="46"/>
      <c r="L107" s="47"/>
    </row>
    <row r="108" spans="3:12" ht="15.75" customHeight="1">
      <c r="C108" s="45"/>
      <c r="D108" s="46"/>
      <c r="L108" s="47"/>
    </row>
    <row r="109" spans="3:12" ht="15.75" customHeight="1">
      <c r="C109" s="45"/>
      <c r="D109" s="46"/>
      <c r="L109" s="47"/>
    </row>
    <row r="110" spans="3:12" ht="15.75" customHeight="1">
      <c r="C110" s="45"/>
      <c r="D110" s="46"/>
      <c r="L110" s="47"/>
    </row>
    <row r="111" spans="3:12" ht="15.75" customHeight="1">
      <c r="C111" s="45"/>
      <c r="D111" s="46"/>
      <c r="L111" s="47"/>
    </row>
    <row r="112" spans="3:12" ht="15.75" customHeight="1">
      <c r="C112" s="45"/>
      <c r="D112" s="46"/>
      <c r="L112" s="47"/>
    </row>
    <row r="113" spans="3:12" ht="15.75" customHeight="1">
      <c r="C113" s="45"/>
      <c r="D113" s="46"/>
      <c r="L113" s="47"/>
    </row>
    <row r="114" spans="3:12" ht="15.75" customHeight="1">
      <c r="C114" s="45"/>
      <c r="D114" s="46"/>
      <c r="L114" s="47"/>
    </row>
    <row r="115" spans="3:12" ht="15.75" customHeight="1">
      <c r="C115" s="45"/>
      <c r="D115" s="46"/>
      <c r="L115" s="47"/>
    </row>
    <row r="116" spans="3:12" ht="15.75" customHeight="1">
      <c r="C116" s="45"/>
      <c r="D116" s="46"/>
      <c r="L116" s="47"/>
    </row>
    <row r="117" spans="3:12" ht="15.75" customHeight="1">
      <c r="C117" s="45"/>
      <c r="D117" s="46"/>
      <c r="L117" s="47"/>
    </row>
    <row r="118" spans="3:12" ht="15.75" customHeight="1">
      <c r="C118" s="45"/>
      <c r="D118" s="46"/>
      <c r="L118" s="47"/>
    </row>
    <row r="119" spans="3:12" ht="15.75" customHeight="1">
      <c r="C119" s="45"/>
      <c r="D119" s="46"/>
      <c r="L119" s="47"/>
    </row>
    <row r="120" spans="3:12" ht="15.75" customHeight="1">
      <c r="C120" s="45"/>
      <c r="D120" s="46"/>
      <c r="L120" s="47"/>
    </row>
    <row r="121" spans="3:12" ht="15.75" customHeight="1">
      <c r="C121" s="45"/>
      <c r="D121" s="46"/>
      <c r="L121" s="47"/>
    </row>
    <row r="122" spans="3:12" ht="15.75" customHeight="1">
      <c r="C122" s="45"/>
      <c r="D122" s="46"/>
      <c r="L122" s="47"/>
    </row>
    <row r="123" spans="3:12" ht="15.75" customHeight="1">
      <c r="C123" s="45"/>
      <c r="D123" s="46"/>
      <c r="L123" s="47"/>
    </row>
    <row r="124" spans="3:12" ht="15.75" customHeight="1">
      <c r="C124" s="45"/>
      <c r="D124" s="46"/>
      <c r="L124" s="47"/>
    </row>
    <row r="125" spans="3:12" ht="15.75" customHeight="1">
      <c r="C125" s="45"/>
      <c r="D125" s="46"/>
      <c r="L125" s="47"/>
    </row>
    <row r="126" spans="3:12" ht="15.75" customHeight="1">
      <c r="C126" s="45"/>
      <c r="D126" s="46"/>
      <c r="L126" s="47"/>
    </row>
    <row r="127" spans="3:12" ht="15.75" customHeight="1">
      <c r="C127" s="45"/>
      <c r="D127" s="46"/>
      <c r="L127" s="47"/>
    </row>
    <row r="128" spans="3:12" ht="15.75" customHeight="1">
      <c r="C128" s="45"/>
      <c r="D128" s="46"/>
      <c r="L128" s="47"/>
    </row>
    <row r="129" spans="3:12" ht="15.75" customHeight="1">
      <c r="C129" s="45"/>
      <c r="D129" s="46"/>
      <c r="L129" s="47"/>
    </row>
    <row r="130" spans="3:12" ht="15.75" customHeight="1">
      <c r="C130" s="45"/>
      <c r="D130" s="46"/>
      <c r="L130" s="47"/>
    </row>
    <row r="131" spans="3:12" ht="15.75" customHeight="1">
      <c r="C131" s="45"/>
      <c r="D131" s="46"/>
      <c r="L131" s="47"/>
    </row>
    <row r="132" spans="3:12" ht="15.75" customHeight="1">
      <c r="C132" s="45"/>
      <c r="D132" s="46"/>
      <c r="L132" s="47"/>
    </row>
    <row r="133" spans="3:12" ht="15.75" customHeight="1">
      <c r="C133" s="45"/>
      <c r="D133" s="46"/>
      <c r="L133" s="47"/>
    </row>
    <row r="134" spans="3:12" ht="15.75" customHeight="1">
      <c r="C134" s="45"/>
      <c r="D134" s="46"/>
      <c r="L134" s="47"/>
    </row>
    <row r="135" spans="3:12" ht="15.75" customHeight="1">
      <c r="C135" s="45"/>
      <c r="D135" s="46"/>
      <c r="L135" s="47"/>
    </row>
    <row r="136" spans="3:12" ht="15.75" customHeight="1">
      <c r="C136" s="45"/>
      <c r="D136" s="46"/>
      <c r="L136" s="47"/>
    </row>
    <row r="137" spans="3:12" ht="15.75" customHeight="1">
      <c r="C137" s="45"/>
      <c r="D137" s="46"/>
      <c r="L137" s="47"/>
    </row>
    <row r="138" spans="3:12" ht="15.75" customHeight="1">
      <c r="C138" s="45"/>
      <c r="D138" s="46"/>
      <c r="L138" s="47"/>
    </row>
    <row r="139" spans="3:12" ht="15.75" customHeight="1">
      <c r="C139" s="45"/>
      <c r="D139" s="46"/>
      <c r="L139" s="47"/>
    </row>
    <row r="140" spans="3:12" ht="15.75" customHeight="1">
      <c r="C140" s="45"/>
      <c r="D140" s="46"/>
      <c r="L140" s="47"/>
    </row>
    <row r="141" spans="3:12" ht="15.75" customHeight="1">
      <c r="C141" s="45"/>
      <c r="D141" s="46"/>
      <c r="L141" s="47"/>
    </row>
    <row r="142" spans="3:12" ht="15.75" customHeight="1">
      <c r="C142" s="45"/>
      <c r="D142" s="46"/>
      <c r="L142" s="47"/>
    </row>
    <row r="143" spans="3:12" ht="15.75" customHeight="1">
      <c r="C143" s="45"/>
      <c r="D143" s="46"/>
      <c r="L143" s="47"/>
    </row>
    <row r="144" spans="3:12" ht="15.75" customHeight="1">
      <c r="C144" s="45"/>
      <c r="D144" s="46"/>
      <c r="L144" s="47"/>
    </row>
    <row r="145" spans="3:12" ht="15.75" customHeight="1">
      <c r="C145" s="45"/>
      <c r="D145" s="46"/>
      <c r="L145" s="47"/>
    </row>
    <row r="146" spans="3:12" ht="15.75" customHeight="1">
      <c r="C146" s="45"/>
      <c r="D146" s="46"/>
      <c r="L146" s="47"/>
    </row>
    <row r="147" spans="3:12" ht="15.75" customHeight="1">
      <c r="C147" s="45"/>
      <c r="D147" s="46"/>
      <c r="L147" s="47"/>
    </row>
    <row r="148" spans="3:12" ht="15.75" customHeight="1">
      <c r="C148" s="45"/>
      <c r="D148" s="46"/>
      <c r="L148" s="47"/>
    </row>
    <row r="149" spans="3:12" ht="15.75" customHeight="1">
      <c r="C149" s="45"/>
      <c r="D149" s="46"/>
      <c r="L149" s="47"/>
    </row>
    <row r="150" spans="3:12" ht="15.75" customHeight="1">
      <c r="C150" s="45"/>
      <c r="D150" s="46"/>
      <c r="L150" s="47"/>
    </row>
    <row r="151" spans="3:12" ht="15.75" customHeight="1">
      <c r="C151" s="45"/>
      <c r="D151" s="46"/>
      <c r="L151" s="47"/>
    </row>
    <row r="152" spans="3:12" ht="15.75" customHeight="1">
      <c r="C152" s="45"/>
      <c r="D152" s="46"/>
      <c r="L152" s="47"/>
    </row>
    <row r="153" spans="3:12" ht="15.75" customHeight="1">
      <c r="C153" s="45"/>
      <c r="D153" s="46"/>
      <c r="L153" s="47"/>
    </row>
    <row r="154" spans="3:12" ht="15.75" customHeight="1">
      <c r="C154" s="45"/>
      <c r="D154" s="46"/>
      <c r="L154" s="47"/>
    </row>
    <row r="155" spans="3:12" ht="15.75" customHeight="1">
      <c r="C155" s="45"/>
      <c r="D155" s="46"/>
      <c r="L155" s="47"/>
    </row>
    <row r="156" spans="3:12" ht="15.75" customHeight="1">
      <c r="C156" s="45"/>
      <c r="D156" s="46"/>
      <c r="L156" s="47"/>
    </row>
    <row r="157" spans="3:12" ht="15.75" customHeight="1">
      <c r="C157" s="45"/>
      <c r="D157" s="46"/>
      <c r="L157" s="47"/>
    </row>
    <row r="158" spans="3:12" ht="15.75" customHeight="1">
      <c r="C158" s="45"/>
      <c r="D158" s="46"/>
      <c r="L158" s="47"/>
    </row>
    <row r="159" spans="3:12" ht="15.75" customHeight="1">
      <c r="C159" s="45"/>
      <c r="D159" s="46"/>
      <c r="L159" s="47"/>
    </row>
    <row r="160" spans="3:12" ht="15.75" customHeight="1">
      <c r="C160" s="45"/>
      <c r="D160" s="46"/>
      <c r="L160" s="47"/>
    </row>
    <row r="161" spans="3:12" ht="15.75" customHeight="1">
      <c r="C161" s="45"/>
      <c r="D161" s="46"/>
      <c r="L161" s="47"/>
    </row>
    <row r="162" spans="3:12" ht="15.75" customHeight="1">
      <c r="C162" s="45"/>
      <c r="D162" s="46"/>
      <c r="L162" s="47"/>
    </row>
    <row r="163" spans="3:12" ht="15.75" customHeight="1">
      <c r="C163" s="45"/>
      <c r="D163" s="46"/>
      <c r="L163" s="47"/>
    </row>
    <row r="164" spans="3:12" ht="15.75" customHeight="1">
      <c r="C164" s="45"/>
      <c r="D164" s="46"/>
      <c r="L164" s="47"/>
    </row>
    <row r="165" spans="3:12" ht="15.75" customHeight="1">
      <c r="C165" s="45"/>
      <c r="D165" s="46"/>
      <c r="L165" s="47"/>
    </row>
    <row r="166" spans="3:12" ht="15.75" customHeight="1">
      <c r="C166" s="45"/>
      <c r="D166" s="46"/>
      <c r="L166" s="47"/>
    </row>
    <row r="167" spans="3:12" ht="15.75" customHeight="1">
      <c r="C167" s="45"/>
      <c r="D167" s="46"/>
      <c r="L167" s="47"/>
    </row>
    <row r="168" spans="3:12" ht="15.75" customHeight="1">
      <c r="C168" s="45"/>
      <c r="D168" s="46"/>
      <c r="L168" s="47"/>
    </row>
    <row r="169" spans="3:12" ht="15.75" customHeight="1">
      <c r="C169" s="45"/>
      <c r="D169" s="46"/>
      <c r="L169" s="47"/>
    </row>
    <row r="170" spans="3:12" ht="15.75" customHeight="1">
      <c r="C170" s="45"/>
      <c r="D170" s="46"/>
      <c r="L170" s="47"/>
    </row>
    <row r="171" spans="3:12" ht="15.75" customHeight="1">
      <c r="C171" s="45"/>
      <c r="D171" s="46"/>
      <c r="L171" s="47"/>
    </row>
    <row r="172" spans="3:12" ht="15.75" customHeight="1">
      <c r="C172" s="45"/>
      <c r="D172" s="46"/>
      <c r="L172" s="47"/>
    </row>
    <row r="173" spans="3:12" ht="15.75" customHeight="1">
      <c r="C173" s="45"/>
      <c r="D173" s="46"/>
      <c r="L173" s="47"/>
    </row>
    <row r="174" spans="3:12" ht="15.75" customHeight="1">
      <c r="C174" s="45"/>
      <c r="D174" s="46"/>
      <c r="L174" s="47"/>
    </row>
    <row r="175" spans="3:12" ht="15.75" customHeight="1">
      <c r="C175" s="45"/>
      <c r="D175" s="46"/>
      <c r="L175" s="47"/>
    </row>
    <row r="176" spans="3:12" ht="15.75" customHeight="1">
      <c r="C176" s="45"/>
      <c r="D176" s="46"/>
      <c r="L176" s="47"/>
    </row>
    <row r="177" spans="3:12" ht="15.75" customHeight="1">
      <c r="C177" s="45"/>
      <c r="D177" s="46"/>
      <c r="L177" s="47"/>
    </row>
    <row r="178" spans="3:12" ht="15.75" customHeight="1">
      <c r="C178" s="45"/>
      <c r="D178" s="46"/>
      <c r="L178" s="47"/>
    </row>
    <row r="179" spans="3:12" ht="15.75" customHeight="1">
      <c r="C179" s="45"/>
      <c r="D179" s="46"/>
      <c r="L179" s="47"/>
    </row>
    <row r="180" spans="3:12" ht="15.75" customHeight="1">
      <c r="C180" s="45"/>
      <c r="D180" s="46"/>
      <c r="L180" s="47"/>
    </row>
    <row r="181" spans="3:12" ht="15.75" customHeight="1">
      <c r="C181" s="45"/>
      <c r="D181" s="46"/>
      <c r="L181" s="47"/>
    </row>
    <row r="182" spans="3:12" ht="15.75" customHeight="1">
      <c r="C182" s="45"/>
      <c r="D182" s="46"/>
      <c r="L182" s="47"/>
    </row>
    <row r="183" spans="3:12" ht="15.75" customHeight="1">
      <c r="C183" s="45"/>
      <c r="D183" s="46"/>
      <c r="L183" s="47"/>
    </row>
    <row r="184" spans="3:12" ht="15.75" customHeight="1">
      <c r="C184" s="45"/>
      <c r="D184" s="46"/>
      <c r="L184" s="47"/>
    </row>
    <row r="185" spans="3:12" ht="15.75" customHeight="1">
      <c r="C185" s="45"/>
      <c r="D185" s="46"/>
      <c r="L185" s="47"/>
    </row>
    <row r="186" spans="3:12" ht="15.75" customHeight="1">
      <c r="C186" s="45"/>
      <c r="D186" s="46"/>
      <c r="L186" s="47"/>
    </row>
    <row r="187" spans="3:12" ht="15.75" customHeight="1">
      <c r="C187" s="45"/>
      <c r="D187" s="46"/>
      <c r="L187" s="47"/>
    </row>
    <row r="188" spans="3:12" ht="15.75" customHeight="1">
      <c r="C188" s="45"/>
      <c r="D188" s="46"/>
      <c r="L188" s="47"/>
    </row>
    <row r="189" spans="3:12" ht="15.75" customHeight="1">
      <c r="C189" s="45"/>
      <c r="D189" s="46"/>
      <c r="L189" s="47"/>
    </row>
    <row r="190" spans="3:12" ht="15.75" customHeight="1">
      <c r="C190" s="45"/>
      <c r="D190" s="46"/>
      <c r="L190" s="47"/>
    </row>
    <row r="191" spans="3:12" ht="15.75" customHeight="1">
      <c r="C191" s="45"/>
      <c r="D191" s="46"/>
      <c r="L191" s="47"/>
    </row>
    <row r="192" spans="3:12" ht="15.75" customHeight="1">
      <c r="C192" s="45"/>
      <c r="D192" s="46"/>
      <c r="L192" s="47"/>
    </row>
    <row r="193" spans="3:12" ht="15.75" customHeight="1">
      <c r="C193" s="45"/>
      <c r="D193" s="46"/>
      <c r="L193" s="47"/>
    </row>
    <row r="194" spans="3:12" ht="15.75" customHeight="1">
      <c r="C194" s="45"/>
      <c r="D194" s="46"/>
      <c r="L194" s="47"/>
    </row>
    <row r="195" spans="3:12" ht="15.75" customHeight="1">
      <c r="C195" s="45"/>
      <c r="D195" s="46"/>
      <c r="L195" s="47"/>
    </row>
    <row r="196" spans="3:12" ht="15.75" customHeight="1">
      <c r="C196" s="45"/>
      <c r="D196" s="46"/>
      <c r="L196" s="47"/>
    </row>
    <row r="197" spans="3:12" ht="15.75" customHeight="1">
      <c r="C197" s="45"/>
      <c r="D197" s="46"/>
      <c r="L197" s="47"/>
    </row>
    <row r="198" spans="3:12" ht="15.75" customHeight="1">
      <c r="C198" s="45"/>
      <c r="D198" s="46"/>
      <c r="L198" s="47"/>
    </row>
    <row r="199" spans="3:12" ht="15.75" customHeight="1">
      <c r="C199" s="45"/>
      <c r="D199" s="46"/>
      <c r="L199" s="47"/>
    </row>
    <row r="200" spans="3:12" ht="15.75" customHeight="1">
      <c r="C200" s="45"/>
      <c r="D200" s="46"/>
      <c r="L200" s="47"/>
    </row>
    <row r="201" spans="3:12" ht="15.75" customHeight="1">
      <c r="C201" s="45"/>
      <c r="D201" s="46"/>
      <c r="L201" s="47"/>
    </row>
    <row r="202" spans="3:12" ht="15.75" customHeight="1">
      <c r="C202" s="45"/>
      <c r="D202" s="46"/>
      <c r="L202" s="47"/>
    </row>
    <row r="203" spans="3:12" ht="15.75" customHeight="1">
      <c r="C203" s="45"/>
      <c r="D203" s="46"/>
      <c r="L203" s="47"/>
    </row>
    <row r="204" spans="3:12" ht="15.75" customHeight="1">
      <c r="C204" s="45"/>
      <c r="D204" s="46"/>
      <c r="L204" s="47"/>
    </row>
    <row r="205" spans="3:12" ht="15.75" customHeight="1">
      <c r="C205" s="45"/>
      <c r="D205" s="46"/>
      <c r="L205" s="47"/>
    </row>
    <row r="206" spans="3:12" ht="15.75" customHeight="1">
      <c r="C206" s="45"/>
      <c r="D206" s="46"/>
      <c r="L206" s="47"/>
    </row>
    <row r="207" spans="3:12" ht="15.75" customHeight="1">
      <c r="C207" s="45"/>
      <c r="D207" s="46"/>
      <c r="L207" s="47"/>
    </row>
    <row r="208" spans="3:12" ht="15.75" customHeight="1">
      <c r="C208" s="45"/>
      <c r="D208" s="46"/>
      <c r="L208" s="47"/>
    </row>
    <row r="209" spans="3:12" ht="15.75" customHeight="1">
      <c r="C209" s="45"/>
      <c r="D209" s="46"/>
      <c r="L209" s="47"/>
    </row>
    <row r="210" spans="3:12" ht="15.75" customHeight="1">
      <c r="C210" s="45"/>
      <c r="D210" s="46"/>
      <c r="L210" s="47"/>
    </row>
    <row r="211" spans="3:12" ht="15.75" customHeight="1">
      <c r="C211" s="45"/>
      <c r="D211" s="46"/>
      <c r="L211" s="47"/>
    </row>
    <row r="212" spans="3:12" ht="15.75" customHeight="1">
      <c r="C212" s="45"/>
      <c r="D212" s="46"/>
      <c r="L212" s="47"/>
    </row>
    <row r="213" spans="3:12" ht="15.75" customHeight="1">
      <c r="C213" s="45"/>
      <c r="D213" s="46"/>
      <c r="L213" s="47"/>
    </row>
    <row r="214" spans="3:12" ht="15.75" customHeight="1">
      <c r="C214" s="45"/>
      <c r="D214" s="46"/>
      <c r="L214" s="47"/>
    </row>
    <row r="215" spans="3:12" ht="15.75" customHeight="1">
      <c r="C215" s="45"/>
      <c r="D215" s="46"/>
      <c r="L215" s="47"/>
    </row>
    <row r="216" spans="3:12" ht="15.75" customHeight="1">
      <c r="C216" s="45"/>
      <c r="D216" s="46"/>
      <c r="L216" s="47"/>
    </row>
    <row r="217" spans="3:12" ht="15.75" customHeight="1">
      <c r="C217" s="45"/>
      <c r="D217" s="46"/>
      <c r="L217" s="47"/>
    </row>
    <row r="218" spans="3:12" ht="15.75" customHeight="1">
      <c r="C218" s="45"/>
      <c r="D218" s="46"/>
      <c r="L218" s="47"/>
    </row>
    <row r="219" spans="3:12" ht="15.75" customHeight="1">
      <c r="C219" s="45"/>
      <c r="D219" s="46"/>
      <c r="L219" s="47"/>
    </row>
    <row r="220" spans="3:12" ht="15.75" customHeight="1">
      <c r="C220" s="45"/>
      <c r="D220" s="46"/>
      <c r="L220" s="47"/>
    </row>
    <row r="221" spans="3:12" ht="15.75" customHeight="1">
      <c r="C221" s="45"/>
      <c r="D221" s="46"/>
      <c r="L221" s="47"/>
    </row>
    <row r="222" spans="3:12" ht="15.75" customHeight="1">
      <c r="C222" s="45"/>
      <c r="D222" s="46"/>
      <c r="L222" s="47"/>
    </row>
    <row r="223" spans="3:12" ht="15.75" customHeight="1">
      <c r="C223" s="45"/>
      <c r="D223" s="46"/>
      <c r="L223" s="47"/>
    </row>
    <row r="224" spans="3:12" ht="15.75" customHeight="1">
      <c r="C224" s="45"/>
      <c r="D224" s="46"/>
      <c r="L224" s="47"/>
    </row>
    <row r="225" spans="3:12" ht="15.75" customHeight="1">
      <c r="C225" s="45"/>
      <c r="D225" s="46"/>
      <c r="L225" s="47"/>
    </row>
    <row r="226" spans="3:12" ht="15.75" customHeight="1">
      <c r="C226" s="45"/>
      <c r="D226" s="46"/>
      <c r="L226" s="47"/>
    </row>
    <row r="227" spans="3:12" ht="15.75" customHeight="1">
      <c r="C227" s="45"/>
      <c r="D227" s="46"/>
      <c r="L227" s="47"/>
    </row>
    <row r="228" spans="3:12" ht="15.75" customHeight="1"/>
    <row r="229" spans="3:12" ht="15.75" customHeight="1"/>
    <row r="230" spans="3:12" ht="15.75" customHeight="1"/>
    <row r="231" spans="3:12" ht="15.75" customHeight="1"/>
    <row r="232" spans="3:12" ht="15.75" customHeight="1"/>
    <row r="233" spans="3:12" ht="15.75" customHeight="1"/>
    <row r="234" spans="3:12" ht="15.75" customHeight="1"/>
    <row r="235" spans="3:12" ht="15.75" customHeight="1"/>
    <row r="236" spans="3:12" ht="15.75" customHeight="1"/>
    <row r="237" spans="3:12" ht="15.75" customHeight="1"/>
    <row r="238" spans="3:12" ht="15.75" customHeight="1"/>
    <row r="239" spans="3:12" ht="15.75" customHeight="1"/>
    <row r="240" spans="3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O15:O19"/>
    <mergeCell ref="L60:M60"/>
    <mergeCell ref="I5:M5"/>
    <mergeCell ref="C15:C18"/>
    <mergeCell ref="D5:D6"/>
    <mergeCell ref="E5:H5"/>
    <mergeCell ref="C5:C6"/>
    <mergeCell ref="N5:N6"/>
    <mergeCell ref="C3:M3"/>
    <mergeCell ref="L7:L14"/>
    <mergeCell ref="B5:B6"/>
    <mergeCell ref="L62:M62"/>
    <mergeCell ref="C7:C14"/>
    <mergeCell ref="L20:L26"/>
    <mergeCell ref="C20:C26"/>
    <mergeCell ref="L15:L18"/>
    <mergeCell ref="L61:M6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7"/>
  <sheetViews>
    <sheetView topLeftCell="A28" workbookViewId="0">
      <selection activeCell="D19" sqref="D19"/>
    </sheetView>
  </sheetViews>
  <sheetFormatPr defaultColWidth="12.5703125" defaultRowHeight="15" customHeight="1"/>
  <cols>
    <col min="1" max="1" width="12.5703125" style="83" customWidth="1"/>
    <col min="2" max="2" width="16.140625" style="83" customWidth="1"/>
    <col min="3" max="3" width="19.85546875" style="83" customWidth="1"/>
    <col min="4" max="4" width="37.42578125" style="83" customWidth="1"/>
    <col min="5" max="5" width="50.42578125" style="83" customWidth="1"/>
    <col min="6" max="6" width="48.5703125" style="83" customWidth="1"/>
    <col min="7" max="7" width="12.5703125" style="83" customWidth="1"/>
    <col min="8" max="8" width="16" style="83" customWidth="1"/>
  </cols>
  <sheetData>
    <row r="1" spans="1:26" ht="15.75" customHeight="1">
      <c r="A1" s="82"/>
      <c r="B1" s="82"/>
      <c r="C1" s="1"/>
      <c r="D1" s="2"/>
      <c r="E1" s="2"/>
      <c r="F1" s="3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5.75" customHeight="1">
      <c r="A2" s="82" t="s">
        <v>733</v>
      </c>
      <c r="B2" s="82"/>
      <c r="C2" s="1"/>
      <c r="D2" s="2"/>
      <c r="E2" s="2" t="s">
        <v>734</v>
      </c>
      <c r="F2" s="3" t="s">
        <v>735</v>
      </c>
      <c r="G2" s="82" t="s">
        <v>736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5.75" customHeight="1">
      <c r="A3" s="82"/>
      <c r="B3" s="82"/>
      <c r="C3" s="1"/>
      <c r="D3" s="2"/>
      <c r="E3" s="2"/>
      <c r="F3" s="3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5.75" customHeight="1">
      <c r="A4" s="82"/>
      <c r="B4" s="82"/>
      <c r="C4" s="1"/>
      <c r="D4" s="2"/>
      <c r="E4" s="2"/>
      <c r="F4" s="3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.75" customHeight="1">
      <c r="A5" s="82"/>
      <c r="B5" s="82"/>
      <c r="C5" s="1"/>
      <c r="D5" s="2"/>
      <c r="E5" s="2"/>
      <c r="F5" s="3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>
      <c r="A6" s="82"/>
      <c r="B6" s="82"/>
      <c r="C6" s="1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>
      <c r="A7" s="82"/>
      <c r="B7" s="82"/>
      <c r="C7" s="1"/>
      <c r="D7" s="2"/>
      <c r="E7" s="2"/>
      <c r="F7" s="3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>
      <c r="A8" s="82"/>
      <c r="B8" s="82"/>
      <c r="C8" s="1"/>
      <c r="D8" s="2"/>
      <c r="E8" s="2"/>
      <c r="F8" s="3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>
      <c r="A9" s="82"/>
      <c r="B9" s="82"/>
      <c r="C9" s="1"/>
      <c r="D9" s="2"/>
      <c r="E9" s="2"/>
      <c r="F9" s="3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>
      <c r="A10" s="82"/>
      <c r="B10" s="82"/>
      <c r="C10" s="1"/>
      <c r="D10" s="2"/>
      <c r="E10" s="2"/>
      <c r="F10" s="3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>
      <c r="A11" s="82"/>
      <c r="B11" s="82"/>
      <c r="C11" s="1"/>
      <c r="D11" s="2"/>
      <c r="E11" s="2"/>
      <c r="F11" s="3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>
      <c r="A12" s="82"/>
      <c r="B12" s="82"/>
      <c r="C12" s="1"/>
      <c r="D12" s="2"/>
      <c r="E12" s="2"/>
      <c r="F12" s="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>
      <c r="A13" s="82"/>
      <c r="B13" s="82"/>
      <c r="C13" s="1"/>
      <c r="D13" s="2"/>
      <c r="E13" s="2"/>
      <c r="F13" s="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>
      <c r="A14" s="82"/>
      <c r="B14" s="82"/>
      <c r="C14" s="1"/>
      <c r="D14" s="2"/>
      <c r="E14" s="2"/>
      <c r="F14" s="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>
      <c r="A15" s="82"/>
      <c r="B15" s="82"/>
      <c r="C15" s="1"/>
      <c r="D15" s="2"/>
      <c r="E15" s="2"/>
      <c r="F15" s="3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>
      <c r="A16" s="82"/>
      <c r="B16" s="82"/>
      <c r="C16" s="1"/>
      <c r="D16" s="2"/>
      <c r="E16" s="2"/>
      <c r="F16" s="3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>
      <c r="A17" s="82"/>
      <c r="B17" s="82"/>
      <c r="C17" s="1"/>
      <c r="D17" s="2"/>
      <c r="E17" s="2"/>
      <c r="F17" s="3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>
      <c r="A18" s="82"/>
      <c r="B18" s="82"/>
      <c r="C18" s="1"/>
      <c r="D18" s="2"/>
      <c r="E18" s="2"/>
      <c r="F18" s="3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>
      <c r="A19" s="82"/>
      <c r="B19" s="82"/>
      <c r="C19" s="1"/>
      <c r="D19" s="2"/>
      <c r="E19" s="2"/>
      <c r="F19" s="3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>
      <c r="A20" s="82"/>
      <c r="B20" s="82"/>
      <c r="C20" s="1"/>
      <c r="D20" s="2"/>
      <c r="E20" s="2"/>
      <c r="F20" s="3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>
      <c r="A21" s="82"/>
      <c r="B21" s="82"/>
      <c r="C21" s="1"/>
      <c r="D21" s="2"/>
      <c r="E21" s="2"/>
      <c r="F21" s="3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>
      <c r="A22" s="82"/>
      <c r="B22" s="82"/>
      <c r="C22" s="1"/>
      <c r="D22" s="2"/>
      <c r="E22" s="2"/>
      <c r="F22" s="3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>
      <c r="A23" s="82"/>
      <c r="B23" s="82"/>
      <c r="C23" s="1"/>
      <c r="D23" s="2"/>
      <c r="E23" s="2"/>
      <c r="F23" s="3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>
      <c r="A24" s="82"/>
      <c r="B24" s="82"/>
      <c r="C24" s="1"/>
      <c r="D24" s="2"/>
      <c r="E24" s="2"/>
      <c r="F24" s="3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>
      <c r="A25" s="82"/>
      <c r="B25" s="82"/>
      <c r="C25" s="1"/>
      <c r="D25" s="2"/>
      <c r="E25" s="2"/>
      <c r="F25" s="3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>
      <c r="A26" s="82"/>
      <c r="B26" s="82"/>
      <c r="C26" s="1"/>
      <c r="D26" s="2"/>
      <c r="E26" s="2"/>
      <c r="F26" s="3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>
      <c r="A27" s="82"/>
      <c r="B27" s="82"/>
      <c r="C27" s="1"/>
      <c r="D27" s="2"/>
      <c r="E27" s="2"/>
      <c r="F27" s="3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>
      <c r="A28" s="82"/>
      <c r="B28" s="82"/>
      <c r="C28" s="1"/>
      <c r="D28" s="2"/>
      <c r="E28" s="2"/>
      <c r="F28" s="3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>
      <c r="A29" s="82"/>
      <c r="B29" s="82"/>
      <c r="C29" s="1"/>
      <c r="D29" s="2"/>
      <c r="E29" s="2"/>
      <c r="F29" s="3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>
      <c r="A30" s="82"/>
      <c r="B30" s="82"/>
      <c r="C30" s="1"/>
      <c r="D30" s="2"/>
      <c r="E30" s="2"/>
      <c r="F30" s="3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>
      <c r="A31" s="82"/>
      <c r="B31" s="82"/>
      <c r="C31" s="1"/>
      <c r="D31" s="2"/>
      <c r="E31" s="2"/>
      <c r="F31" s="3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>
      <c r="A32" s="82"/>
      <c r="B32" s="82"/>
      <c r="C32" s="1"/>
      <c r="D32" s="2"/>
      <c r="E32" s="2"/>
      <c r="F32" s="3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>
      <c r="A33" s="82"/>
      <c r="B33" s="82"/>
      <c r="C33" s="1"/>
      <c r="D33" s="2"/>
      <c r="E33" s="2"/>
      <c r="F33" s="3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>
      <c r="A34" s="82"/>
      <c r="B34" s="82"/>
      <c r="C34" s="1"/>
      <c r="D34" s="2"/>
      <c r="E34" s="2"/>
      <c r="F34" s="3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>
      <c r="A35" s="82"/>
      <c r="B35" s="82"/>
      <c r="C35" s="1"/>
      <c r="D35" s="2"/>
      <c r="E35" s="2"/>
      <c r="F35" s="3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>
      <c r="A36" s="82"/>
      <c r="B36" s="82"/>
      <c r="C36" s="1"/>
      <c r="D36" s="2"/>
      <c r="E36" s="2"/>
      <c r="F36" s="3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>
      <c r="A37" s="82"/>
      <c r="B37" s="82"/>
      <c r="C37" s="1"/>
      <c r="D37" s="2"/>
      <c r="E37" s="2"/>
      <c r="F37" s="3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>
      <c r="A38" s="82"/>
      <c r="B38" s="82"/>
      <c r="C38" s="1"/>
      <c r="D38" s="2"/>
      <c r="E38" s="2"/>
      <c r="F38" s="3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>
      <c r="A39" s="82"/>
      <c r="B39" s="82"/>
      <c r="C39" s="1"/>
      <c r="D39" s="2"/>
      <c r="E39" s="2"/>
      <c r="F39" s="3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>
      <c r="A40" s="82"/>
      <c r="B40" s="82"/>
      <c r="C40" s="1"/>
      <c r="D40" s="2"/>
      <c r="E40" s="2"/>
      <c r="F40" s="3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>
      <c r="A41" s="82"/>
      <c r="B41" s="82"/>
      <c r="C41" s="1"/>
      <c r="D41" s="2"/>
      <c r="E41" s="2"/>
      <c r="F41" s="3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>
      <c r="A42" s="82"/>
      <c r="B42" s="82"/>
      <c r="C42" s="1"/>
      <c r="D42" s="2"/>
      <c r="E42" s="2"/>
      <c r="F42" s="3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>
      <c r="A43" s="82"/>
      <c r="B43" s="82"/>
      <c r="C43" s="1"/>
      <c r="D43" s="2"/>
      <c r="E43" s="2"/>
      <c r="F43" s="3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>
      <c r="A44" s="82"/>
      <c r="B44" s="82"/>
      <c r="C44" s="1"/>
      <c r="D44" s="2"/>
      <c r="E44" s="2"/>
      <c r="F44" s="3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>
      <c r="A45" s="82"/>
      <c r="B45" s="82"/>
      <c r="C45" s="1"/>
      <c r="D45" s="2"/>
      <c r="E45" s="2"/>
      <c r="F45" s="3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>
      <c r="A46" s="82"/>
      <c r="B46" s="82"/>
      <c r="C46" s="1"/>
      <c r="D46" s="2"/>
      <c r="E46" s="2"/>
      <c r="F46" s="3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>
      <c r="A47" s="82"/>
      <c r="B47" s="82"/>
      <c r="C47" s="1"/>
      <c r="D47" s="2"/>
      <c r="E47" s="2"/>
      <c r="F47" s="3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>
      <c r="A48" s="82"/>
      <c r="B48" s="82"/>
      <c r="C48" s="1"/>
      <c r="D48" s="2"/>
      <c r="E48" s="2"/>
      <c r="F48" s="3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>
      <c r="A49" s="82"/>
      <c r="B49" s="82"/>
      <c r="C49" s="1"/>
      <c r="D49" s="2"/>
      <c r="E49" s="2"/>
      <c r="F49" s="3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>
      <c r="A50" s="82"/>
      <c r="B50" s="82"/>
      <c r="C50" s="1"/>
      <c r="D50" s="2"/>
      <c r="E50" s="2"/>
      <c r="F50" s="3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>
      <c r="A51" s="82"/>
      <c r="B51" s="82"/>
      <c r="C51" s="1"/>
      <c r="D51" s="2"/>
      <c r="E51" s="2"/>
      <c r="F51" s="3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>
      <c r="A52" s="82"/>
      <c r="B52" s="82"/>
      <c r="C52" s="1"/>
      <c r="D52" s="2"/>
      <c r="E52" s="2"/>
      <c r="F52" s="3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>
      <c r="A53" s="82"/>
      <c r="B53" s="82"/>
      <c r="C53" s="1"/>
      <c r="D53" s="2"/>
      <c r="E53" s="2"/>
      <c r="F53" s="3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>
      <c r="A54" s="82"/>
      <c r="B54" s="82"/>
      <c r="C54" s="1"/>
      <c r="D54" s="2"/>
      <c r="E54" s="2"/>
      <c r="F54" s="3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>
      <c r="A55" s="82"/>
      <c r="B55" s="82"/>
      <c r="C55" s="1"/>
      <c r="D55" s="2"/>
      <c r="E55" s="2"/>
      <c r="F55" s="3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>
      <c r="A56" s="82"/>
      <c r="B56" s="82"/>
      <c r="C56" s="1"/>
      <c r="D56" s="2"/>
      <c r="E56" s="2"/>
      <c r="F56" s="3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>
      <c r="A57" s="82"/>
      <c r="B57" s="82"/>
      <c r="C57" s="1"/>
      <c r="D57" s="2"/>
      <c r="E57" s="2"/>
      <c r="F57" s="3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>
      <c r="A58" s="82"/>
      <c r="B58" s="82"/>
      <c r="C58" s="1"/>
      <c r="D58" s="2"/>
      <c r="E58" s="2"/>
      <c r="F58" s="3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>
      <c r="A59" s="82"/>
      <c r="B59" s="82"/>
      <c r="C59" s="1"/>
      <c r="D59" s="2"/>
      <c r="E59" s="2"/>
      <c r="F59" s="3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>
      <c r="A60" s="82"/>
      <c r="B60" s="82"/>
      <c r="C60" s="1"/>
      <c r="D60" s="2"/>
      <c r="E60" s="2"/>
      <c r="F60" s="3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>
      <c r="A61" s="82"/>
      <c r="B61" s="82"/>
      <c r="C61" s="1"/>
      <c r="D61" s="2"/>
      <c r="E61" s="2"/>
      <c r="F61" s="3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>
      <c r="A62" s="82"/>
      <c r="B62" s="82"/>
      <c r="C62" s="1"/>
      <c r="D62" s="2"/>
      <c r="E62" s="2"/>
      <c r="F62" s="3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>
      <c r="A63" s="82"/>
      <c r="B63" s="82"/>
      <c r="C63" s="1"/>
      <c r="D63" s="2"/>
      <c r="E63" s="2"/>
      <c r="F63" s="3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>
      <c r="A64" s="82"/>
      <c r="B64" s="82"/>
      <c r="C64" s="1"/>
      <c r="D64" s="2"/>
      <c r="E64" s="2"/>
      <c r="F64" s="3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>
      <c r="A65" s="82"/>
      <c r="B65" s="82"/>
      <c r="C65" s="1"/>
      <c r="D65" s="2"/>
      <c r="E65" s="2"/>
      <c r="F65" s="3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>
      <c r="A66" s="82"/>
      <c r="B66" s="82"/>
      <c r="C66" s="1"/>
      <c r="D66" s="2"/>
      <c r="E66" s="2"/>
      <c r="F66" s="3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>
      <c r="A67" s="82"/>
      <c r="B67" s="82"/>
      <c r="C67" s="1"/>
      <c r="D67" s="2"/>
      <c r="E67" s="2"/>
      <c r="F67" s="3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>
      <c r="A68" s="82"/>
      <c r="B68" s="82"/>
      <c r="C68" s="1"/>
      <c r="D68" s="2"/>
      <c r="E68" s="2"/>
      <c r="F68" s="3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>
      <c r="A69" s="82"/>
      <c r="B69" s="82"/>
      <c r="C69" s="1"/>
      <c r="D69" s="2"/>
      <c r="E69" s="2"/>
      <c r="F69" s="3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>
      <c r="A70" s="82"/>
      <c r="B70" s="82"/>
      <c r="C70" s="1"/>
      <c r="D70" s="2"/>
      <c r="E70" s="2"/>
      <c r="F70" s="3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>
      <c r="A71" s="82"/>
      <c r="B71" s="82"/>
      <c r="C71" s="1"/>
      <c r="D71" s="2"/>
      <c r="E71" s="2"/>
      <c r="F71" s="3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>
      <c r="A72" s="82"/>
      <c r="B72" s="82"/>
      <c r="C72" s="1"/>
      <c r="D72" s="2"/>
      <c r="E72" s="2"/>
      <c r="F72" s="3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>
      <c r="A73" s="82"/>
      <c r="B73" s="82"/>
      <c r="C73" s="1"/>
      <c r="D73" s="2"/>
      <c r="E73" s="2"/>
      <c r="F73" s="3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>
      <c r="A74" s="82"/>
      <c r="B74" s="82"/>
      <c r="C74" s="1"/>
      <c r="D74" s="2"/>
      <c r="E74" s="2"/>
      <c r="F74" s="3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>
      <c r="A75" s="82"/>
      <c r="B75" s="82"/>
      <c r="C75" s="1"/>
      <c r="D75" s="2"/>
      <c r="E75" s="2"/>
      <c r="F75" s="3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>
      <c r="A76" s="82"/>
      <c r="B76" s="82"/>
      <c r="C76" s="1"/>
      <c r="D76" s="2"/>
      <c r="E76" s="2"/>
      <c r="F76" s="3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>
      <c r="A77" s="82"/>
      <c r="B77" s="82"/>
      <c r="C77" s="1"/>
      <c r="D77" s="2"/>
      <c r="E77" s="2"/>
      <c r="F77" s="3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>
      <c r="A78" s="82"/>
      <c r="B78" s="82"/>
      <c r="C78" s="1"/>
      <c r="D78" s="2"/>
      <c r="E78" s="2"/>
      <c r="F78" s="3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>
      <c r="A79" s="82"/>
      <c r="B79" s="82"/>
      <c r="C79" s="1"/>
      <c r="D79" s="2"/>
      <c r="E79" s="2"/>
      <c r="F79" s="3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>
      <c r="A80" s="82"/>
      <c r="B80" s="82"/>
      <c r="C80" s="1"/>
      <c r="D80" s="2"/>
      <c r="E80" s="2"/>
      <c r="F80" s="3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>
      <c r="A81" s="82"/>
      <c r="B81" s="82"/>
      <c r="C81" s="1"/>
      <c r="D81" s="2"/>
      <c r="E81" s="2"/>
      <c r="F81" s="3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>
      <c r="A82" s="82"/>
      <c r="B82" s="82"/>
      <c r="C82" s="1"/>
      <c r="D82" s="2"/>
      <c r="E82" s="2"/>
      <c r="F82" s="3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>
      <c r="A83" s="82"/>
      <c r="B83" s="82"/>
      <c r="C83" s="1"/>
      <c r="D83" s="2"/>
      <c r="E83" s="2"/>
      <c r="F83" s="3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>
      <c r="A84" s="82"/>
      <c r="B84" s="82"/>
      <c r="C84" s="1"/>
      <c r="D84" s="2"/>
      <c r="E84" s="2"/>
      <c r="F84" s="3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>
      <c r="A85" s="82"/>
      <c r="B85" s="82"/>
      <c r="C85" s="1"/>
      <c r="D85" s="2"/>
      <c r="E85" s="2"/>
      <c r="F85" s="3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>
      <c r="A86" s="82"/>
      <c r="B86" s="82"/>
      <c r="C86" s="1"/>
      <c r="D86" s="2"/>
      <c r="E86" s="2"/>
      <c r="F86" s="3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>
      <c r="A87" s="82"/>
      <c r="B87" s="82"/>
      <c r="C87" s="1"/>
      <c r="D87" s="2"/>
      <c r="E87" s="2"/>
      <c r="F87" s="3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>
      <c r="A88" s="82"/>
      <c r="B88" s="82"/>
      <c r="C88" s="1"/>
      <c r="D88" s="2"/>
      <c r="E88" s="2"/>
      <c r="F88" s="3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>
      <c r="A89" s="82"/>
      <c r="B89" s="82"/>
      <c r="C89" s="1"/>
      <c r="D89" s="2"/>
      <c r="E89" s="2"/>
      <c r="F89" s="3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>
      <c r="A90" s="82"/>
      <c r="B90" s="82"/>
      <c r="C90" s="1"/>
      <c r="D90" s="2"/>
      <c r="E90" s="2"/>
      <c r="F90" s="3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>
      <c r="A91" s="82"/>
      <c r="B91" s="82"/>
      <c r="C91" s="1"/>
      <c r="D91" s="2"/>
      <c r="E91" s="2"/>
      <c r="F91" s="3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>
      <c r="A92" s="82"/>
      <c r="B92" s="82"/>
      <c r="C92" s="1"/>
      <c r="D92" s="2"/>
      <c r="E92" s="2"/>
      <c r="F92" s="3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>
      <c r="A93" s="82"/>
      <c r="B93" s="82"/>
      <c r="C93" s="1"/>
      <c r="D93" s="2"/>
      <c r="E93" s="2"/>
      <c r="F93" s="3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>
      <c r="A94" s="82"/>
      <c r="B94" s="82"/>
      <c r="C94" s="1"/>
      <c r="D94" s="2"/>
      <c r="E94" s="2"/>
      <c r="F94" s="3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>
      <c r="A95" s="82"/>
      <c r="B95" s="82"/>
      <c r="C95" s="1"/>
      <c r="D95" s="2"/>
      <c r="E95" s="2"/>
      <c r="F95" s="3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>
      <c r="A96" s="82"/>
      <c r="B96" s="82"/>
      <c r="C96" s="1"/>
      <c r="D96" s="2"/>
      <c r="E96" s="2"/>
      <c r="F96" s="3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>
      <c r="A97" s="82"/>
      <c r="B97" s="82"/>
      <c r="C97" s="1"/>
      <c r="D97" s="2"/>
      <c r="E97" s="2"/>
      <c r="F97" s="3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>
      <c r="A98" s="82"/>
      <c r="B98" s="82"/>
      <c r="C98" s="1"/>
      <c r="D98" s="2"/>
      <c r="E98" s="2"/>
      <c r="F98" s="3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>
      <c r="A99" s="82"/>
      <c r="B99" s="82"/>
      <c r="C99" s="1"/>
      <c r="D99" s="2"/>
      <c r="E99" s="2"/>
      <c r="F99" s="3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>
      <c r="A100" s="82"/>
      <c r="B100" s="82"/>
      <c r="C100" s="1"/>
      <c r="D100" s="2"/>
      <c r="E100" s="2"/>
      <c r="F100" s="3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>
      <c r="A101" s="82"/>
      <c r="B101" s="82"/>
      <c r="C101" s="1"/>
      <c r="D101" s="2"/>
      <c r="E101" s="2"/>
      <c r="F101" s="3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>
      <c r="A102" s="82"/>
      <c r="B102" s="82"/>
      <c r="C102" s="1"/>
      <c r="D102" s="2"/>
      <c r="E102" s="2"/>
      <c r="F102" s="3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>
      <c r="A103" s="82"/>
      <c r="B103" s="82"/>
      <c r="C103" s="1"/>
      <c r="D103" s="2"/>
      <c r="E103" s="2"/>
      <c r="F103" s="3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>
      <c r="A104" s="82"/>
      <c r="B104" s="82"/>
      <c r="C104" s="1"/>
      <c r="D104" s="2"/>
      <c r="E104" s="2"/>
      <c r="F104" s="3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>
      <c r="A105" s="82"/>
      <c r="B105" s="82"/>
      <c r="C105" s="1"/>
      <c r="D105" s="2"/>
      <c r="E105" s="2"/>
      <c r="F105" s="3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>
      <c r="A106" s="82"/>
      <c r="B106" s="82"/>
      <c r="C106" s="1"/>
      <c r="D106" s="2"/>
      <c r="E106" s="2"/>
      <c r="F106" s="3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>
      <c r="A107" s="82"/>
      <c r="B107" s="82"/>
      <c r="C107" s="1"/>
      <c r="D107" s="2"/>
      <c r="E107" s="2"/>
      <c r="F107" s="3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>
      <c r="A108" s="82"/>
      <c r="B108" s="82"/>
      <c r="C108" s="1"/>
      <c r="D108" s="2"/>
      <c r="E108" s="2"/>
      <c r="F108" s="3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>
      <c r="A109" s="82"/>
      <c r="B109" s="82"/>
      <c r="C109" s="1"/>
      <c r="D109" s="2"/>
      <c r="E109" s="2"/>
      <c r="F109" s="3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>
      <c r="A110" s="82"/>
      <c r="B110" s="82"/>
      <c r="C110" s="1"/>
      <c r="D110" s="2"/>
      <c r="E110" s="2"/>
      <c r="F110" s="3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>
      <c r="A111" s="82"/>
      <c r="B111" s="82"/>
      <c r="C111" s="1"/>
      <c r="D111" s="2"/>
      <c r="E111" s="2"/>
      <c r="F111" s="3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>
      <c r="A112" s="82"/>
      <c r="B112" s="82"/>
      <c r="C112" s="1"/>
      <c r="D112" s="2"/>
      <c r="E112" s="2"/>
      <c r="F112" s="3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>
      <c r="A113" s="82"/>
      <c r="B113" s="82"/>
      <c r="C113" s="1"/>
      <c r="D113" s="2"/>
      <c r="E113" s="2"/>
      <c r="F113" s="3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>
      <c r="A114" s="82"/>
      <c r="B114" s="82"/>
      <c r="C114" s="1"/>
      <c r="D114" s="2"/>
      <c r="E114" s="2"/>
      <c r="F114" s="3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>
      <c r="A115" s="82"/>
      <c r="B115" s="82"/>
      <c r="C115" s="1"/>
      <c r="D115" s="2"/>
      <c r="E115" s="2"/>
      <c r="F115" s="3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>
      <c r="A116" s="82"/>
      <c r="B116" s="82"/>
      <c r="C116" s="1"/>
      <c r="D116" s="2"/>
      <c r="E116" s="2"/>
      <c r="F116" s="3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>
      <c r="A117" s="82"/>
      <c r="B117" s="82"/>
      <c r="C117" s="1"/>
      <c r="D117" s="2"/>
      <c r="E117" s="2"/>
      <c r="F117" s="3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>
      <c r="A118" s="82"/>
      <c r="B118" s="82"/>
      <c r="C118" s="1"/>
      <c r="D118" s="2"/>
      <c r="E118" s="2"/>
      <c r="F118" s="3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>
      <c r="A119" s="82"/>
      <c r="B119" s="82"/>
      <c r="C119" s="1"/>
      <c r="D119" s="2"/>
      <c r="E119" s="2"/>
      <c r="F119" s="3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>
      <c r="A120" s="82"/>
      <c r="B120" s="82"/>
      <c r="C120" s="1"/>
      <c r="D120" s="2"/>
      <c r="E120" s="2"/>
      <c r="F120" s="3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>
      <c r="A121" s="82"/>
      <c r="B121" s="82"/>
      <c r="C121" s="1"/>
      <c r="D121" s="2"/>
      <c r="E121" s="2"/>
      <c r="F121" s="3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>
      <c r="A122" s="82"/>
      <c r="B122" s="82"/>
      <c r="C122" s="1"/>
      <c r="D122" s="2"/>
      <c r="E122" s="2"/>
      <c r="F122" s="3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>
      <c r="A123" s="82"/>
      <c r="B123" s="82"/>
      <c r="C123" s="1"/>
      <c r="D123" s="2"/>
      <c r="E123" s="2"/>
      <c r="F123" s="3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>
      <c r="A124" s="82"/>
      <c r="B124" s="82"/>
      <c r="C124" s="1"/>
      <c r="D124" s="2"/>
      <c r="E124" s="2"/>
      <c r="F124" s="3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>
      <c r="A125" s="82"/>
      <c r="B125" s="82"/>
      <c r="C125" s="1"/>
      <c r="D125" s="2"/>
      <c r="E125" s="2"/>
      <c r="F125" s="3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>
      <c r="A126" s="82"/>
      <c r="B126" s="82"/>
      <c r="C126" s="1"/>
      <c r="D126" s="2"/>
      <c r="E126" s="2"/>
      <c r="F126" s="3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>
      <c r="A127" s="82"/>
      <c r="B127" s="82"/>
      <c r="C127" s="1"/>
      <c r="D127" s="2"/>
      <c r="E127" s="2"/>
      <c r="F127" s="3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>
      <c r="A128" s="82"/>
      <c r="B128" s="82"/>
      <c r="C128" s="1"/>
      <c r="D128" s="2"/>
      <c r="E128" s="2"/>
      <c r="F128" s="3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>
      <c r="A129" s="82"/>
      <c r="B129" s="82"/>
      <c r="C129" s="1"/>
      <c r="D129" s="2"/>
      <c r="E129" s="2"/>
      <c r="F129" s="3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>
      <c r="A130" s="82"/>
      <c r="B130" s="82"/>
      <c r="C130" s="1"/>
      <c r="D130" s="2"/>
      <c r="E130" s="2"/>
      <c r="F130" s="3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>
      <c r="A131" s="82"/>
      <c r="B131" s="82"/>
      <c r="C131" s="1"/>
      <c r="D131" s="2"/>
      <c r="E131" s="2"/>
      <c r="F131" s="3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>
      <c r="A132" s="82"/>
      <c r="B132" s="82"/>
      <c r="C132" s="1"/>
      <c r="D132" s="2"/>
      <c r="E132" s="2"/>
      <c r="F132" s="3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>
      <c r="A133" s="82"/>
      <c r="B133" s="82"/>
      <c r="C133" s="1"/>
      <c r="D133" s="2"/>
      <c r="E133" s="2"/>
      <c r="F133" s="3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>
      <c r="A134" s="82"/>
      <c r="B134" s="82"/>
      <c r="C134" s="1"/>
      <c r="D134" s="2"/>
      <c r="E134" s="2"/>
      <c r="F134" s="3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>
      <c r="A135" s="82"/>
      <c r="B135" s="82"/>
      <c r="C135" s="1"/>
      <c r="D135" s="2"/>
      <c r="E135" s="2"/>
      <c r="F135" s="3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>
      <c r="A136" s="82"/>
      <c r="B136" s="82"/>
      <c r="C136" s="1"/>
      <c r="D136" s="2"/>
      <c r="E136" s="2"/>
      <c r="F136" s="3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>
      <c r="A137" s="82"/>
      <c r="B137" s="82"/>
      <c r="C137" s="1"/>
      <c r="D137" s="2"/>
      <c r="E137" s="2"/>
      <c r="F137" s="3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>
      <c r="A138" s="82"/>
      <c r="B138" s="82"/>
      <c r="C138" s="1"/>
      <c r="D138" s="2"/>
      <c r="E138" s="2"/>
      <c r="F138" s="3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>
      <c r="A139" s="82"/>
      <c r="B139" s="82"/>
      <c r="C139" s="1"/>
      <c r="D139" s="2"/>
      <c r="E139" s="2"/>
      <c r="F139" s="3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>
      <c r="A140" s="82"/>
      <c r="B140" s="82"/>
      <c r="C140" s="1"/>
      <c r="D140" s="2"/>
      <c r="E140" s="2"/>
      <c r="F140" s="3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>
      <c r="A141" s="82"/>
      <c r="B141" s="82"/>
      <c r="C141" s="1"/>
      <c r="D141" s="2"/>
      <c r="E141" s="2"/>
      <c r="F141" s="3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>
      <c r="A142" s="82"/>
      <c r="B142" s="82"/>
      <c r="C142" s="1"/>
      <c r="D142" s="2"/>
      <c r="E142" s="2"/>
      <c r="F142" s="3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>
      <c r="A143" s="82"/>
      <c r="B143" s="82"/>
      <c r="C143" s="1"/>
      <c r="D143" s="2"/>
      <c r="E143" s="2"/>
      <c r="F143" s="3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>
      <c r="A144" s="82"/>
      <c r="B144" s="82"/>
      <c r="C144" s="1"/>
      <c r="D144" s="2"/>
      <c r="E144" s="2"/>
      <c r="F144" s="3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>
      <c r="A145" s="82"/>
      <c r="B145" s="82"/>
      <c r="C145" s="1"/>
      <c r="D145" s="2"/>
      <c r="E145" s="2"/>
      <c r="F145" s="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>
      <c r="A146" s="82"/>
      <c r="B146" s="82"/>
      <c r="C146" s="1"/>
      <c r="D146" s="2"/>
      <c r="E146" s="2"/>
      <c r="F146" s="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>
      <c r="A147" s="82"/>
      <c r="B147" s="82"/>
      <c r="C147" s="1"/>
      <c r="D147" s="2"/>
      <c r="E147" s="2"/>
      <c r="F147" s="3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>
      <c r="A148" s="82"/>
      <c r="B148" s="82"/>
      <c r="C148" s="1"/>
      <c r="D148" s="2"/>
      <c r="E148" s="2"/>
      <c r="F148" s="3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>
      <c r="A149" s="82"/>
      <c r="B149" s="82"/>
      <c r="C149" s="1"/>
      <c r="D149" s="2"/>
      <c r="E149" s="2"/>
      <c r="F149" s="3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>
      <c r="A150" s="82"/>
      <c r="B150" s="82"/>
      <c r="C150" s="1"/>
      <c r="D150" s="2"/>
      <c r="E150" s="2"/>
      <c r="F150" s="3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>
      <c r="A151" s="82"/>
      <c r="B151" s="82"/>
      <c r="C151" s="1"/>
      <c r="D151" s="2"/>
      <c r="E151" s="2"/>
      <c r="F151" s="3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>
      <c r="A152" s="82"/>
      <c r="B152" s="82"/>
      <c r="C152" s="1"/>
      <c r="D152" s="2"/>
      <c r="E152" s="2"/>
      <c r="F152" s="3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>
      <c r="A153" s="82"/>
      <c r="B153" s="82"/>
      <c r="C153" s="1"/>
      <c r="D153" s="2"/>
      <c r="E153" s="2"/>
      <c r="F153" s="3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>
      <c r="A154" s="82"/>
      <c r="B154" s="82"/>
      <c r="C154" s="1"/>
      <c r="D154" s="2"/>
      <c r="E154" s="2"/>
      <c r="F154" s="3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>
      <c r="A155" s="82"/>
      <c r="B155" s="82"/>
      <c r="C155" s="1"/>
      <c r="D155" s="2"/>
      <c r="E155" s="2"/>
      <c r="F155" s="3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>
      <c r="A156" s="82"/>
      <c r="B156" s="82"/>
      <c r="C156" s="1"/>
      <c r="D156" s="2"/>
      <c r="E156" s="2"/>
      <c r="F156" s="3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>
      <c r="A157" s="82"/>
      <c r="B157" s="82"/>
      <c r="C157" s="1"/>
      <c r="D157" s="2"/>
      <c r="E157" s="2"/>
      <c r="F157" s="3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>
      <c r="A158" s="82"/>
      <c r="B158" s="82"/>
      <c r="C158" s="1"/>
      <c r="D158" s="2"/>
      <c r="E158" s="2"/>
      <c r="F158" s="3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>
      <c r="A159" s="82"/>
      <c r="B159" s="82"/>
      <c r="C159" s="1"/>
      <c r="D159" s="2"/>
      <c r="E159" s="2"/>
      <c r="F159" s="3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>
      <c r="A160" s="82"/>
      <c r="B160" s="82"/>
      <c r="C160" s="1"/>
      <c r="D160" s="2"/>
      <c r="E160" s="2"/>
      <c r="F160" s="3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>
      <c r="A161" s="82"/>
      <c r="B161" s="82"/>
      <c r="C161" s="1"/>
      <c r="D161" s="2"/>
      <c r="E161" s="2"/>
      <c r="F161" s="3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>
      <c r="A162" s="82"/>
      <c r="B162" s="82"/>
      <c r="C162" s="1"/>
      <c r="D162" s="2"/>
      <c r="E162" s="2"/>
      <c r="F162" s="3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>
      <c r="A163" s="82"/>
      <c r="B163" s="82"/>
      <c r="C163" s="1"/>
      <c r="D163" s="2"/>
      <c r="E163" s="2"/>
      <c r="F163" s="3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>
      <c r="A164" s="82"/>
      <c r="B164" s="82"/>
      <c r="C164" s="1"/>
      <c r="D164" s="2"/>
      <c r="E164" s="2"/>
      <c r="F164" s="3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>
      <c r="A165" s="82"/>
      <c r="B165" s="82"/>
      <c r="C165" s="1"/>
      <c r="D165" s="2"/>
      <c r="E165" s="2"/>
      <c r="F165" s="3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>
      <c r="A166" s="82"/>
      <c r="B166" s="82"/>
      <c r="C166" s="1"/>
      <c r="D166" s="2"/>
      <c r="E166" s="2"/>
      <c r="F166" s="3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>
      <c r="A167" s="82"/>
      <c r="B167" s="82"/>
      <c r="C167" s="1"/>
      <c r="D167" s="2"/>
      <c r="E167" s="2"/>
      <c r="F167" s="3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>
      <c r="A168" s="82"/>
      <c r="B168" s="82"/>
      <c r="C168" s="1"/>
      <c r="D168" s="2"/>
      <c r="E168" s="2"/>
      <c r="F168" s="3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>
      <c r="A169" s="82"/>
      <c r="B169" s="82"/>
      <c r="C169" s="1"/>
      <c r="D169" s="2"/>
      <c r="E169" s="2"/>
      <c r="F169" s="3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>
      <c r="A170" s="82"/>
      <c r="B170" s="82"/>
      <c r="C170" s="1"/>
      <c r="D170" s="2"/>
      <c r="E170" s="2"/>
      <c r="F170" s="3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>
      <c r="A171" s="82"/>
      <c r="B171" s="82"/>
      <c r="C171" s="1"/>
      <c r="D171" s="2"/>
      <c r="E171" s="2"/>
      <c r="F171" s="3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>
      <c r="A172" s="82"/>
      <c r="B172" s="82"/>
      <c r="C172" s="1"/>
      <c r="D172" s="2"/>
      <c r="E172" s="2"/>
      <c r="F172" s="3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>
      <c r="A173" s="82"/>
      <c r="B173" s="82"/>
      <c r="C173" s="1"/>
      <c r="D173" s="2"/>
      <c r="E173" s="2"/>
      <c r="F173" s="3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>
      <c r="A174" s="82"/>
      <c r="B174" s="82"/>
      <c r="C174" s="1"/>
      <c r="D174" s="2"/>
      <c r="E174" s="2"/>
      <c r="F174" s="3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>
      <c r="A175" s="82"/>
      <c r="B175" s="82"/>
      <c r="C175" s="1"/>
      <c r="D175" s="2"/>
      <c r="E175" s="2"/>
      <c r="F175" s="3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>
      <c r="A176" s="82"/>
      <c r="B176" s="82"/>
      <c r="C176" s="1"/>
      <c r="D176" s="2"/>
      <c r="E176" s="2"/>
      <c r="F176" s="3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>
      <c r="A177" s="82"/>
      <c r="B177" s="82"/>
      <c r="C177" s="1"/>
      <c r="D177" s="2"/>
      <c r="E177" s="2"/>
      <c r="F177" s="3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>
      <c r="A178" s="82"/>
      <c r="B178" s="82"/>
      <c r="C178" s="1"/>
      <c r="D178" s="2"/>
      <c r="E178" s="2"/>
      <c r="F178" s="3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>
      <c r="A179" s="82"/>
      <c r="B179" s="82"/>
      <c r="C179" s="1"/>
      <c r="D179" s="2"/>
      <c r="E179" s="2"/>
      <c r="F179" s="3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>
      <c r="A180" s="82"/>
      <c r="B180" s="82"/>
      <c r="C180" s="1"/>
      <c r="D180" s="2"/>
      <c r="E180" s="2"/>
      <c r="F180" s="3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>
      <c r="A181" s="82"/>
      <c r="B181" s="82"/>
      <c r="C181" s="1"/>
      <c r="D181" s="2"/>
      <c r="E181" s="2"/>
      <c r="F181" s="3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>
      <c r="A182" s="82"/>
      <c r="B182" s="82"/>
      <c r="C182" s="1"/>
      <c r="D182" s="2"/>
      <c r="E182" s="2"/>
      <c r="F182" s="3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>
      <c r="A183" s="82"/>
      <c r="B183" s="82"/>
      <c r="C183" s="1"/>
      <c r="D183" s="2"/>
      <c r="E183" s="2"/>
      <c r="F183" s="3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>
      <c r="A184" s="82"/>
      <c r="B184" s="82"/>
      <c r="C184" s="1"/>
      <c r="D184" s="2"/>
      <c r="E184" s="2"/>
      <c r="F184" s="3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>
      <c r="A185" s="82"/>
      <c r="B185" s="82"/>
      <c r="C185" s="1"/>
      <c r="D185" s="2"/>
      <c r="E185" s="2"/>
      <c r="F185" s="3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>
      <c r="A186" s="82"/>
      <c r="B186" s="82"/>
      <c r="C186" s="1"/>
      <c r="D186" s="2"/>
      <c r="E186" s="2"/>
      <c r="F186" s="3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>
      <c r="A187" s="82"/>
      <c r="B187" s="82"/>
      <c r="C187" s="1"/>
      <c r="D187" s="2"/>
      <c r="E187" s="2"/>
      <c r="F187" s="3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>
      <c r="A188" s="82"/>
      <c r="B188" s="82"/>
      <c r="C188" s="1"/>
      <c r="D188" s="2"/>
      <c r="E188" s="2"/>
      <c r="F188" s="3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>
      <c r="A189" s="82"/>
      <c r="B189" s="82"/>
      <c r="C189" s="1"/>
      <c r="D189" s="2"/>
      <c r="E189" s="2"/>
      <c r="F189" s="3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>
      <c r="A190" s="82"/>
      <c r="B190" s="82"/>
      <c r="C190" s="1"/>
      <c r="D190" s="2"/>
      <c r="E190" s="2"/>
      <c r="F190" s="3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>
      <c r="A191" s="82"/>
      <c r="B191" s="82"/>
      <c r="C191" s="1"/>
      <c r="D191" s="2"/>
      <c r="E191" s="2"/>
      <c r="F191" s="3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>
      <c r="A192" s="82"/>
      <c r="B192" s="82"/>
      <c r="C192" s="1"/>
      <c r="D192" s="2"/>
      <c r="E192" s="2"/>
      <c r="F192" s="3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>
      <c r="A193" s="82"/>
      <c r="B193" s="82"/>
      <c r="C193" s="1"/>
      <c r="D193" s="2"/>
      <c r="E193" s="2"/>
      <c r="F193" s="3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>
      <c r="A194" s="82"/>
      <c r="B194" s="82"/>
      <c r="C194" s="1"/>
      <c r="D194" s="2"/>
      <c r="E194" s="2"/>
      <c r="F194" s="3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>
      <c r="A195" s="82"/>
      <c r="B195" s="82"/>
      <c r="C195" s="1"/>
      <c r="D195" s="2"/>
      <c r="E195" s="2"/>
      <c r="F195" s="3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>
      <c r="D196" s="4"/>
      <c r="E196" s="4"/>
      <c r="F196" s="5"/>
    </row>
    <row r="197" spans="1:26" ht="15.75" customHeight="1"/>
    <row r="198" spans="1:26" ht="15.75" customHeight="1"/>
    <row r="199" spans="1:26" ht="15.75" customHeight="1"/>
    <row r="200" spans="1:26" ht="15.75" customHeight="1"/>
    <row r="201" spans="1:26" ht="15.75" customHeight="1"/>
    <row r="202" spans="1:26" ht="15.75" customHeight="1"/>
    <row r="203" spans="1:26" ht="15.75" customHeight="1"/>
    <row r="204" spans="1:26" ht="15.75" customHeight="1"/>
    <row r="205" spans="1:26" ht="15.75" customHeight="1"/>
    <row r="206" spans="1:26" ht="15.75" customHeight="1"/>
    <row r="207" spans="1:26" ht="15.75" customHeight="1"/>
    <row r="208" spans="1:26" ht="15.75" customHeight="1"/>
    <row r="209" spans="1:1" ht="15.75" customHeight="1">
      <c r="A209" s="6"/>
    </row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>
      <c r="A254" s="6"/>
    </row>
    <row r="255" spans="1:1" ht="15.75" customHeight="1"/>
    <row r="256" spans="1: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>
      <c r="A298" s="6"/>
    </row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>
      <c r="A336" s="6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spans="1:1" ht="15.75" customHeight="1"/>
    <row r="370" spans="1:1" ht="15.75" customHeight="1">
      <c r="A370" s="6"/>
    </row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Test Plan&amp;report</vt:lpstr>
      <vt:lpstr>Revisions</vt:lpstr>
      <vt:lpstr>Tin tức</vt:lpstr>
      <vt:lpstr>Master Plan</vt:lpstr>
      <vt:lpstr>WFDesign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2026-05-08T07:10:00Z</dcterms:created>
  <dcterms:modified xsi:type="dcterms:W3CDTF">2026-05-12T09:53:47Z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2EE6DDE3A95945AE9552C49E82AC6A95_12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